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sraa\FSE\FSE Attendence\"/>
    </mc:Choice>
  </mc:AlternateContent>
  <xr:revisionPtr revIDLastSave="0" documentId="13_ncr:1_{EFFFA62D-EB8E-4F20-BD88-FA0BFFA7F351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Data" sheetId="1" r:id="rId1"/>
    <sheet name="Traniees Name &amp; Package" sheetId="2" r:id="rId2"/>
    <sheet name="June 2026 Memberships" sheetId="3" r:id="rId3"/>
    <sheet name="Off-Ice Attendence" sheetId="5" r:id="rId4"/>
    <sheet name="June 2026 Attendence" sheetId="4" r:id="rId5"/>
    <sheet name="June 2026 Bund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6" l="1"/>
  <c r="G48" i="6"/>
  <c r="H48" i="6"/>
  <c r="E156" i="6"/>
  <c r="G156" i="6"/>
  <c r="H156" i="6"/>
  <c r="I156" i="6" s="1"/>
  <c r="E157" i="6"/>
  <c r="G157" i="6"/>
  <c r="H157" i="6"/>
  <c r="I157" i="6" s="1"/>
  <c r="E158" i="6"/>
  <c r="G158" i="6"/>
  <c r="H158" i="6"/>
  <c r="I158" i="6" s="1"/>
  <c r="E159" i="6"/>
  <c r="G159" i="6"/>
  <c r="H159" i="6"/>
  <c r="I159" i="6" s="1"/>
  <c r="E160" i="6"/>
  <c r="G160" i="6"/>
  <c r="H160" i="6"/>
  <c r="I160" i="6" s="1"/>
  <c r="E161" i="6"/>
  <c r="G161" i="6"/>
  <c r="H161" i="6"/>
  <c r="I161" i="6" s="1"/>
  <c r="E162" i="6"/>
  <c r="G162" i="6"/>
  <c r="H162" i="6"/>
  <c r="I162" i="6" s="1"/>
  <c r="E81" i="6"/>
  <c r="G81" i="6"/>
  <c r="H81" i="6"/>
  <c r="H75" i="6"/>
  <c r="E82" i="6"/>
  <c r="G82" i="6"/>
  <c r="H82" i="6"/>
  <c r="I82" i="6" s="1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89" i="6"/>
  <c r="H65" i="6"/>
  <c r="H66" i="6"/>
  <c r="H67" i="6"/>
  <c r="H68" i="6"/>
  <c r="H69" i="6"/>
  <c r="H70" i="6"/>
  <c r="H71" i="6"/>
  <c r="H72" i="6"/>
  <c r="H73" i="6"/>
  <c r="H74" i="6"/>
  <c r="H76" i="6"/>
  <c r="H77" i="6"/>
  <c r="H78" i="6"/>
  <c r="H79" i="6"/>
  <c r="H80" i="6"/>
  <c r="H83" i="6"/>
  <c r="H84" i="6"/>
  <c r="H85" i="6"/>
  <c r="H86" i="6"/>
  <c r="H87" i="6"/>
  <c r="H64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9" i="6"/>
  <c r="H32" i="6"/>
  <c r="H22" i="6"/>
  <c r="H23" i="6"/>
  <c r="H24" i="6"/>
  <c r="H25" i="6"/>
  <c r="H26" i="6"/>
  <c r="H27" i="6"/>
  <c r="H28" i="6"/>
  <c r="H29" i="6"/>
  <c r="H30" i="6"/>
  <c r="H21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3" i="6"/>
  <c r="H52" i="6"/>
  <c r="H53" i="6"/>
  <c r="H54" i="6"/>
  <c r="H55" i="6"/>
  <c r="H56" i="6"/>
  <c r="H57" i="6"/>
  <c r="H58" i="6"/>
  <c r="H59" i="6"/>
  <c r="H60" i="6"/>
  <c r="H61" i="6"/>
  <c r="H62" i="6"/>
  <c r="H51" i="6"/>
  <c r="E45" i="6"/>
  <c r="G45" i="6"/>
  <c r="E47" i="6"/>
  <c r="G47" i="6"/>
  <c r="E40" i="6"/>
  <c r="G40" i="6"/>
  <c r="E153" i="6"/>
  <c r="G153" i="6"/>
  <c r="E151" i="6"/>
  <c r="G151" i="6"/>
  <c r="E152" i="6"/>
  <c r="G152" i="6"/>
  <c r="E22" i="6"/>
  <c r="G22" i="6"/>
  <c r="E44" i="6"/>
  <c r="G44" i="6"/>
  <c r="E46" i="6"/>
  <c r="G46" i="6"/>
  <c r="E49" i="6"/>
  <c r="G49" i="6"/>
  <c r="E43" i="6"/>
  <c r="G43" i="6"/>
  <c r="E42" i="6"/>
  <c r="G42" i="6"/>
  <c r="E18" i="6"/>
  <c r="G18" i="6"/>
  <c r="E8" i="6"/>
  <c r="G8" i="6"/>
  <c r="E16" i="6"/>
  <c r="G16" i="6"/>
  <c r="E7" i="6"/>
  <c r="G7" i="6"/>
  <c r="E19" i="6"/>
  <c r="G19" i="6"/>
  <c r="E6" i="6"/>
  <c r="G6" i="6"/>
  <c r="E17" i="6"/>
  <c r="G17" i="6"/>
  <c r="E9" i="6"/>
  <c r="G9" i="6"/>
  <c r="E10" i="6"/>
  <c r="G10" i="6"/>
  <c r="E150" i="6"/>
  <c r="G150" i="6"/>
  <c r="E154" i="6"/>
  <c r="G154" i="6"/>
  <c r="E155" i="6"/>
  <c r="G155" i="6"/>
  <c r="E77" i="6"/>
  <c r="G77" i="6"/>
  <c r="E78" i="6"/>
  <c r="G78" i="6"/>
  <c r="E69" i="6"/>
  <c r="G69" i="6"/>
  <c r="I48" i="6" l="1"/>
  <c r="I81" i="6"/>
  <c r="I152" i="6"/>
  <c r="I153" i="6"/>
  <c r="I40" i="6"/>
  <c r="I45" i="6"/>
  <c r="I151" i="6"/>
  <c r="I47" i="6"/>
  <c r="I22" i="6"/>
  <c r="I18" i="6"/>
  <c r="I16" i="6"/>
  <c r="I49" i="6"/>
  <c r="I44" i="6"/>
  <c r="I46" i="6"/>
  <c r="I43" i="6"/>
  <c r="I155" i="6"/>
  <c r="I42" i="6"/>
  <c r="I8" i="6"/>
  <c r="I154" i="6"/>
  <c r="I7" i="6"/>
  <c r="I17" i="6"/>
  <c r="I6" i="6"/>
  <c r="I150" i="6"/>
  <c r="I19" i="6"/>
  <c r="I9" i="6"/>
  <c r="I10" i="6"/>
  <c r="I78" i="6"/>
  <c r="I77" i="6"/>
  <c r="I69" i="6"/>
  <c r="E141" i="6" l="1"/>
  <c r="G141" i="6"/>
  <c r="I141" i="6"/>
  <c r="E142" i="6"/>
  <c r="G142" i="6"/>
  <c r="E143" i="6"/>
  <c r="G143" i="6"/>
  <c r="E144" i="6"/>
  <c r="G144" i="6"/>
  <c r="I144" i="6"/>
  <c r="E145" i="6"/>
  <c r="G145" i="6"/>
  <c r="I145" i="6"/>
  <c r="E146" i="6"/>
  <c r="G146" i="6"/>
  <c r="E147" i="6"/>
  <c r="G147" i="6"/>
  <c r="E148" i="6"/>
  <c r="G148" i="6"/>
  <c r="E149" i="6"/>
  <c r="G149" i="6"/>
  <c r="E140" i="6"/>
  <c r="G140" i="6"/>
  <c r="E129" i="6"/>
  <c r="G129" i="6"/>
  <c r="E130" i="6"/>
  <c r="G130" i="6"/>
  <c r="E131" i="6"/>
  <c r="G131" i="6"/>
  <c r="E132" i="6"/>
  <c r="G132" i="6"/>
  <c r="E133" i="6"/>
  <c r="G133" i="6"/>
  <c r="E134" i="6"/>
  <c r="G134" i="6"/>
  <c r="E135" i="6"/>
  <c r="G135" i="6"/>
  <c r="E136" i="6"/>
  <c r="G136" i="6"/>
  <c r="E137" i="6"/>
  <c r="G137" i="6"/>
  <c r="E138" i="6"/>
  <c r="G138" i="6"/>
  <c r="E139" i="6"/>
  <c r="G139" i="6"/>
  <c r="E54" i="6"/>
  <c r="G54" i="6"/>
  <c r="E59" i="6"/>
  <c r="G59" i="6"/>
  <c r="E60" i="6"/>
  <c r="G60" i="6"/>
  <c r="E29" i="6"/>
  <c r="G29" i="6"/>
  <c r="E4" i="6"/>
  <c r="G4" i="6"/>
  <c r="E84" i="6"/>
  <c r="G84" i="6"/>
  <c r="E85" i="6"/>
  <c r="G85" i="6"/>
  <c r="E86" i="6"/>
  <c r="G86" i="6"/>
  <c r="E87" i="6"/>
  <c r="G87" i="6"/>
  <c r="E61" i="6"/>
  <c r="G61" i="6"/>
  <c r="E75" i="6"/>
  <c r="G75" i="6"/>
  <c r="E39" i="6"/>
  <c r="G39" i="6"/>
  <c r="E41" i="6"/>
  <c r="G41" i="6"/>
  <c r="E38" i="6"/>
  <c r="G38" i="6"/>
  <c r="E26" i="6"/>
  <c r="G26" i="6"/>
  <c r="E28" i="6"/>
  <c r="G28" i="6"/>
  <c r="E124" i="6"/>
  <c r="G124" i="6"/>
  <c r="E37" i="6"/>
  <c r="G37" i="6"/>
  <c r="E79" i="6"/>
  <c r="G79" i="6"/>
  <c r="E80" i="6"/>
  <c r="G80" i="6"/>
  <c r="E83" i="6"/>
  <c r="G83" i="6"/>
  <c r="E70" i="6"/>
  <c r="G70" i="6"/>
  <c r="E71" i="6"/>
  <c r="G71" i="6"/>
  <c r="E12" i="6"/>
  <c r="G12" i="6"/>
  <c r="E13" i="6"/>
  <c r="G13" i="6"/>
  <c r="E14" i="6"/>
  <c r="G14" i="6"/>
  <c r="E15" i="6"/>
  <c r="G15" i="6"/>
  <c r="G58" i="6"/>
  <c r="E58" i="6"/>
  <c r="E62" i="6"/>
  <c r="G62" i="6"/>
  <c r="E36" i="6"/>
  <c r="G36" i="6"/>
  <c r="E35" i="6"/>
  <c r="G35" i="6"/>
  <c r="E123" i="6"/>
  <c r="G123" i="6"/>
  <c r="E125" i="6"/>
  <c r="G125" i="6"/>
  <c r="E126" i="6"/>
  <c r="G126" i="6"/>
  <c r="E127" i="6"/>
  <c r="G127" i="6"/>
  <c r="E128" i="6"/>
  <c r="G128" i="6"/>
  <c r="E116" i="6"/>
  <c r="G116" i="6"/>
  <c r="E117" i="6"/>
  <c r="G117" i="6"/>
  <c r="E118" i="6"/>
  <c r="G118" i="6"/>
  <c r="E119" i="6"/>
  <c r="G119" i="6"/>
  <c r="E120" i="6"/>
  <c r="G120" i="6"/>
  <c r="E121" i="6"/>
  <c r="G121" i="6"/>
  <c r="E122" i="6"/>
  <c r="G122" i="6"/>
  <c r="E115" i="6"/>
  <c r="G115" i="6"/>
  <c r="E57" i="6"/>
  <c r="G57" i="6"/>
  <c r="E21" i="6"/>
  <c r="G21" i="6"/>
  <c r="I149" i="6" l="1"/>
  <c r="I59" i="6"/>
  <c r="I129" i="6"/>
  <c r="I143" i="6"/>
  <c r="I148" i="6"/>
  <c r="I140" i="6"/>
  <c r="I142" i="6"/>
  <c r="I147" i="6"/>
  <c r="I146" i="6"/>
  <c r="I135" i="6"/>
  <c r="I137" i="6"/>
  <c r="I139" i="6"/>
  <c r="I133" i="6"/>
  <c r="I130" i="6"/>
  <c r="I132" i="6"/>
  <c r="I138" i="6"/>
  <c r="I136" i="6"/>
  <c r="I131" i="6"/>
  <c r="I134" i="6"/>
  <c r="I54" i="6"/>
  <c r="I60" i="6"/>
  <c r="I61" i="6"/>
  <c r="I29" i="6"/>
  <c r="I85" i="6"/>
  <c r="I4" i="6"/>
  <c r="I87" i="6"/>
  <c r="I84" i="6"/>
  <c r="I86" i="6"/>
  <c r="I75" i="6"/>
  <c r="I41" i="6"/>
  <c r="I39" i="6"/>
  <c r="I38" i="6"/>
  <c r="I26" i="6"/>
  <c r="I28" i="6"/>
  <c r="I124" i="6"/>
  <c r="I37" i="6"/>
  <c r="I62" i="6"/>
  <c r="I70" i="6"/>
  <c r="I79" i="6"/>
  <c r="I80" i="6"/>
  <c r="I83" i="6"/>
  <c r="I71" i="6"/>
  <c r="I12" i="6"/>
  <c r="I13" i="6"/>
  <c r="I15" i="6"/>
  <c r="I14" i="6"/>
  <c r="I35" i="6"/>
  <c r="I58" i="6"/>
  <c r="I57" i="6"/>
  <c r="I36" i="6"/>
  <c r="I116" i="6"/>
  <c r="I126" i="6"/>
  <c r="I125" i="6"/>
  <c r="I128" i="6"/>
  <c r="I127" i="6"/>
  <c r="I123" i="6"/>
  <c r="I121" i="6"/>
  <c r="I122" i="6"/>
  <c r="I119" i="6"/>
  <c r="I117" i="6"/>
  <c r="I118" i="6"/>
  <c r="I120" i="6"/>
  <c r="I115" i="6"/>
  <c r="I21" i="6"/>
  <c r="E5" i="6" l="1"/>
  <c r="G5" i="6"/>
  <c r="E11" i="6"/>
  <c r="G11" i="6"/>
  <c r="E55" i="6"/>
  <c r="G55" i="6"/>
  <c r="E56" i="6"/>
  <c r="G56" i="6"/>
  <c r="I11" i="6" l="1"/>
  <c r="I56" i="6"/>
  <c r="I5" i="6"/>
  <c r="I55" i="6"/>
  <c r="E30" i="6" l="1"/>
  <c r="G30" i="6"/>
  <c r="E114" i="6"/>
  <c r="G114" i="6"/>
  <c r="G73" i="6"/>
  <c r="G74" i="6"/>
  <c r="G76" i="6"/>
  <c r="I30" i="6" l="1"/>
  <c r="I114" i="6"/>
  <c r="E111" i="6" l="1"/>
  <c r="G111" i="6"/>
  <c r="E112" i="6"/>
  <c r="G112" i="6"/>
  <c r="E113" i="6"/>
  <c r="G113" i="6"/>
  <c r="I111" i="6" l="1"/>
  <c r="I113" i="6"/>
  <c r="I112" i="6"/>
  <c r="E24" i="6" l="1"/>
  <c r="E25" i="6"/>
  <c r="E27" i="6"/>
  <c r="G27" i="6"/>
  <c r="I27" i="6" l="1"/>
  <c r="I25" i="6"/>
  <c r="I24" i="6"/>
  <c r="E53" i="6" l="1"/>
  <c r="I53" i="6" s="1"/>
  <c r="G53" i="6"/>
  <c r="E109" i="6"/>
  <c r="G109" i="6"/>
  <c r="E110" i="6"/>
  <c r="G110" i="6"/>
  <c r="I110" i="6" l="1"/>
  <c r="I109" i="6"/>
  <c r="E74" i="6" l="1"/>
  <c r="I74" i="6" l="1"/>
  <c r="G108" i="6" l="1"/>
  <c r="E108" i="6"/>
  <c r="G107" i="6"/>
  <c r="E107" i="6"/>
  <c r="G106" i="6"/>
  <c r="E106" i="6"/>
  <c r="G105" i="6"/>
  <c r="E105" i="6"/>
  <c r="G104" i="6"/>
  <c r="E104" i="6"/>
  <c r="G103" i="6"/>
  <c r="E103" i="6"/>
  <c r="G102" i="6"/>
  <c r="E102" i="6"/>
  <c r="G101" i="6"/>
  <c r="E101" i="6"/>
  <c r="G100" i="6"/>
  <c r="E100" i="6"/>
  <c r="G99" i="6"/>
  <c r="E99" i="6"/>
  <c r="G98" i="6"/>
  <c r="E98" i="6"/>
  <c r="G97" i="6"/>
  <c r="E97" i="6"/>
  <c r="G96" i="6"/>
  <c r="E96" i="6"/>
  <c r="G95" i="6"/>
  <c r="E95" i="6"/>
  <c r="G94" i="6"/>
  <c r="E94" i="6"/>
  <c r="G93" i="6"/>
  <c r="E93" i="6"/>
  <c r="G92" i="6"/>
  <c r="E92" i="6"/>
  <c r="G91" i="6"/>
  <c r="E91" i="6"/>
  <c r="G90" i="6"/>
  <c r="E90" i="6"/>
  <c r="G89" i="6"/>
  <c r="E89" i="6"/>
  <c r="E76" i="6"/>
  <c r="E73" i="6"/>
  <c r="G72" i="6"/>
  <c r="E72" i="6"/>
  <c r="G68" i="6"/>
  <c r="E68" i="6"/>
  <c r="G67" i="6"/>
  <c r="E67" i="6"/>
  <c r="G66" i="6"/>
  <c r="E66" i="6"/>
  <c r="G65" i="6"/>
  <c r="E65" i="6"/>
  <c r="G64" i="6"/>
  <c r="E64" i="6"/>
  <c r="G52" i="6"/>
  <c r="E52" i="6"/>
  <c r="G51" i="6"/>
  <c r="E51" i="6"/>
  <c r="G34" i="6"/>
  <c r="E34" i="6"/>
  <c r="G33" i="6"/>
  <c r="E33" i="6"/>
  <c r="G32" i="6"/>
  <c r="E32" i="6"/>
  <c r="G23" i="6"/>
  <c r="E23" i="6"/>
  <c r="G25" i="6"/>
  <c r="G24" i="6"/>
  <c r="G3" i="6"/>
  <c r="E3" i="6"/>
  <c r="I90" i="6" l="1"/>
  <c r="I95" i="6"/>
  <c r="I51" i="6"/>
  <c r="I66" i="6"/>
  <c r="I99" i="6"/>
  <c r="I105" i="6"/>
  <c r="I100" i="6"/>
  <c r="I102" i="6"/>
  <c r="I68" i="6"/>
  <c r="I93" i="6"/>
  <c r="I91" i="6"/>
  <c r="I104" i="6"/>
  <c r="I97" i="6"/>
  <c r="I107" i="6"/>
  <c r="I76" i="6"/>
  <c r="I72" i="6"/>
  <c r="I64" i="6"/>
  <c r="I103" i="6"/>
  <c r="I52" i="6"/>
  <c r="I96" i="6"/>
  <c r="I34" i="6"/>
  <c r="I32" i="6"/>
  <c r="I106" i="6"/>
  <c r="I33" i="6"/>
  <c r="I23" i="6"/>
  <c r="I3" i="6"/>
  <c r="I65" i="6"/>
  <c r="I73" i="6"/>
  <c r="I89" i="6"/>
  <c r="I94" i="6"/>
  <c r="I98" i="6"/>
  <c r="I108" i="6"/>
  <c r="I92" i="6"/>
  <c r="I67" i="6"/>
  <c r="I101" i="6"/>
</calcChain>
</file>

<file path=xl/sharedStrings.xml><?xml version="1.0" encoding="utf-8"?>
<sst xmlns="http://schemas.openxmlformats.org/spreadsheetml/2006/main" count="2300" uniqueCount="767">
  <si>
    <t>Bundles</t>
  </si>
  <si>
    <t>Coach</t>
  </si>
  <si>
    <t>Rink</t>
  </si>
  <si>
    <t>Group</t>
  </si>
  <si>
    <t>Level</t>
  </si>
  <si>
    <t>Type</t>
  </si>
  <si>
    <t>Hours</t>
  </si>
  <si>
    <t>Fees</t>
  </si>
  <si>
    <t>Cash</t>
  </si>
  <si>
    <t xml:space="preserve">Ahmed </t>
  </si>
  <si>
    <t>ELMalahy</t>
  </si>
  <si>
    <t>Kids</t>
  </si>
  <si>
    <t>Ahmed /clara</t>
  </si>
  <si>
    <t>On-Ice Bronze</t>
  </si>
  <si>
    <t>Instapay</t>
  </si>
  <si>
    <t>Esraa</t>
  </si>
  <si>
    <t>SunCity</t>
  </si>
  <si>
    <t>Pre-bronze</t>
  </si>
  <si>
    <t xml:space="preserve">Pre-Alpha </t>
  </si>
  <si>
    <t>Eman</t>
  </si>
  <si>
    <t>On-Ice Silver</t>
  </si>
  <si>
    <t>Maryam</t>
  </si>
  <si>
    <t>Genana</t>
  </si>
  <si>
    <t>Alpha</t>
  </si>
  <si>
    <t>On-Ice Gold</t>
  </si>
  <si>
    <t xml:space="preserve">Hajar </t>
  </si>
  <si>
    <t>Both</t>
  </si>
  <si>
    <t>Beta</t>
  </si>
  <si>
    <t>Hajar</t>
  </si>
  <si>
    <t xml:space="preserve">Clara </t>
  </si>
  <si>
    <t>Bronze</t>
  </si>
  <si>
    <t xml:space="preserve">Gamma </t>
  </si>
  <si>
    <t>Off- Ice  Bronze</t>
  </si>
  <si>
    <t>Delta</t>
  </si>
  <si>
    <t>Off- Ice  Silver</t>
  </si>
  <si>
    <t xml:space="preserve"> Freestyle 1 </t>
  </si>
  <si>
    <t>Off- Ice  Gold</t>
  </si>
  <si>
    <t>Silver</t>
  </si>
  <si>
    <t xml:space="preserve">Freestyle 2 </t>
  </si>
  <si>
    <t>Clara</t>
  </si>
  <si>
    <t>Freestyle 3</t>
  </si>
  <si>
    <t xml:space="preserve">Private </t>
  </si>
  <si>
    <t>Freestyle 4</t>
  </si>
  <si>
    <t>Per Session</t>
  </si>
  <si>
    <t xml:space="preserve">Gold </t>
  </si>
  <si>
    <t>Freestyle 5</t>
  </si>
  <si>
    <t>Ahmed</t>
  </si>
  <si>
    <t>Off-On Ice Bronze</t>
  </si>
  <si>
    <t>8-4</t>
  </si>
  <si>
    <t>Freestyle 6</t>
  </si>
  <si>
    <t>Off-On Ice Silver</t>
  </si>
  <si>
    <t>Freestyle 7</t>
  </si>
  <si>
    <t>Off-On Ice Gold</t>
  </si>
  <si>
    <t>12-8</t>
  </si>
  <si>
    <t>Freestyle 8</t>
  </si>
  <si>
    <t>Freestyle 9</t>
  </si>
  <si>
    <t>Freestyle 10</t>
  </si>
  <si>
    <t xml:space="preserve">Levels </t>
  </si>
  <si>
    <t xml:space="preserve">Kids </t>
  </si>
  <si>
    <t>Pre-Alpha : Beta</t>
  </si>
  <si>
    <t>Gamma : FS1</t>
  </si>
  <si>
    <t>FS2: FS4</t>
  </si>
  <si>
    <t>FS5 : FS10</t>
  </si>
  <si>
    <t>Level's Name</t>
  </si>
  <si>
    <t>Kids 1</t>
  </si>
  <si>
    <t>Kids 2</t>
  </si>
  <si>
    <t>Pre-bronze 1</t>
  </si>
  <si>
    <t>Pre-bronze 2</t>
  </si>
  <si>
    <t>Bronze 1</t>
  </si>
  <si>
    <t>Bronze 2</t>
  </si>
  <si>
    <t>Silver 1</t>
  </si>
  <si>
    <t>Silver 2</t>
  </si>
  <si>
    <t>Elite</t>
  </si>
  <si>
    <t>Pre-Alpha</t>
  </si>
  <si>
    <t>Gamma : Delta</t>
  </si>
  <si>
    <t>FS1</t>
  </si>
  <si>
    <t>FS2:FS3</t>
  </si>
  <si>
    <t>FS4</t>
  </si>
  <si>
    <t>Saad</t>
  </si>
  <si>
    <t>Hajer</t>
  </si>
  <si>
    <t>Maryem / Clara</t>
  </si>
  <si>
    <t>Saad / Maryem</t>
  </si>
  <si>
    <t>saad</t>
  </si>
  <si>
    <t>Membership N</t>
  </si>
  <si>
    <t>Name</t>
  </si>
  <si>
    <t>Price</t>
  </si>
  <si>
    <t>1</t>
  </si>
  <si>
    <t>Ahmed saad</t>
  </si>
  <si>
    <t>2</t>
  </si>
  <si>
    <t>Shaimaa El-Adl</t>
  </si>
  <si>
    <t>3</t>
  </si>
  <si>
    <t>Nada Khaled Kassab</t>
  </si>
  <si>
    <t>4</t>
  </si>
  <si>
    <t>Maryam mohamed</t>
  </si>
  <si>
    <t>5</t>
  </si>
  <si>
    <t>Sally Elziady</t>
  </si>
  <si>
    <t>6</t>
  </si>
  <si>
    <t>Hajar Munir</t>
  </si>
  <si>
    <t>7</t>
  </si>
  <si>
    <t>Clara Amgad</t>
  </si>
  <si>
    <t>8</t>
  </si>
  <si>
    <t>Esraa Nabil</t>
  </si>
  <si>
    <t>9</t>
  </si>
  <si>
    <t>Salma Nagy</t>
  </si>
  <si>
    <t>10</t>
  </si>
  <si>
    <t>11</t>
  </si>
  <si>
    <t>Maria Mostafa</t>
  </si>
  <si>
    <t>12</t>
  </si>
  <si>
    <t>13</t>
  </si>
  <si>
    <t>Aya khaled</t>
  </si>
  <si>
    <t>14</t>
  </si>
  <si>
    <t>Ganna Elkhayat</t>
  </si>
  <si>
    <t>15</t>
  </si>
  <si>
    <t>Jana khaled</t>
  </si>
  <si>
    <t>16</t>
  </si>
  <si>
    <t>Injy Ashraf</t>
  </si>
  <si>
    <t>17</t>
  </si>
  <si>
    <t>Jana ziad</t>
  </si>
  <si>
    <t>18</t>
  </si>
  <si>
    <t>Eman moustafa</t>
  </si>
  <si>
    <t>19</t>
  </si>
  <si>
    <t>Emma Fadi Fouad</t>
  </si>
  <si>
    <t>20</t>
  </si>
  <si>
    <t>21</t>
  </si>
  <si>
    <t>Maggie Mostafa Shams</t>
  </si>
  <si>
    <t>22</t>
  </si>
  <si>
    <t>23</t>
  </si>
  <si>
    <t>Jolie Samer</t>
  </si>
  <si>
    <t>24</t>
  </si>
  <si>
    <t>25</t>
  </si>
  <si>
    <t>26</t>
  </si>
  <si>
    <t>Hallah Mahmoud Taher</t>
  </si>
  <si>
    <t>27</t>
  </si>
  <si>
    <t>Toqa Hossam</t>
  </si>
  <si>
    <t>28</t>
  </si>
  <si>
    <t>Charlotte Nash</t>
  </si>
  <si>
    <t>29</t>
  </si>
  <si>
    <t>Heddia Motaz Ahmed Samy</t>
  </si>
  <si>
    <t>30</t>
  </si>
  <si>
    <t>31</t>
  </si>
  <si>
    <t>32</t>
  </si>
  <si>
    <t>Mariam Amr Arafa</t>
  </si>
  <si>
    <t>33</t>
  </si>
  <si>
    <t>Fatima Elhawary</t>
  </si>
  <si>
    <t>34</t>
  </si>
  <si>
    <t>Lili Elhawary</t>
  </si>
  <si>
    <t>35</t>
  </si>
  <si>
    <t>Amal Fawzy</t>
  </si>
  <si>
    <t>36</t>
  </si>
  <si>
    <t>Nour Alaa</t>
  </si>
  <si>
    <t>37</t>
  </si>
  <si>
    <t>38</t>
  </si>
  <si>
    <t>Laila Alaa</t>
  </si>
  <si>
    <t>39</t>
  </si>
  <si>
    <t>41</t>
  </si>
  <si>
    <t>Noor Abdenbi</t>
  </si>
  <si>
    <t>42</t>
  </si>
  <si>
    <t>Zeina mohamed salah</t>
  </si>
  <si>
    <t>43</t>
  </si>
  <si>
    <t>Lorina Hany</t>
  </si>
  <si>
    <t>Julina Hany</t>
  </si>
  <si>
    <t>Robina Hany</t>
  </si>
  <si>
    <t>44</t>
  </si>
  <si>
    <t>Jamila Amr Salem</t>
  </si>
  <si>
    <t>45</t>
  </si>
  <si>
    <t>Doaa El Komi</t>
  </si>
  <si>
    <t>46</t>
  </si>
  <si>
    <t>Farida Atwa</t>
  </si>
  <si>
    <t>47</t>
  </si>
  <si>
    <t>Reem Abdelhamid</t>
  </si>
  <si>
    <t>48</t>
  </si>
  <si>
    <t>49</t>
  </si>
  <si>
    <t>Mariam Ashraf</t>
  </si>
  <si>
    <t>50</t>
  </si>
  <si>
    <t>Maya Ashraf</t>
  </si>
  <si>
    <t>51</t>
  </si>
  <si>
    <t>Youmna Wael</t>
  </si>
  <si>
    <t>52</t>
  </si>
  <si>
    <t>Nada Wael</t>
  </si>
  <si>
    <t>53</t>
  </si>
  <si>
    <t>54</t>
  </si>
  <si>
    <t>55</t>
  </si>
  <si>
    <t>56</t>
  </si>
  <si>
    <t>57</t>
  </si>
  <si>
    <t>Laila Ahmed</t>
  </si>
  <si>
    <t>58</t>
  </si>
  <si>
    <t>59</t>
  </si>
  <si>
    <t>60</t>
  </si>
  <si>
    <t>61</t>
  </si>
  <si>
    <t>Alya Khaled</t>
  </si>
  <si>
    <t>62</t>
  </si>
  <si>
    <t>63</t>
  </si>
  <si>
    <t>Arwa Sherif Ibrahim</t>
  </si>
  <si>
    <t>64</t>
  </si>
  <si>
    <t>65</t>
  </si>
  <si>
    <t>66</t>
  </si>
  <si>
    <t>67</t>
  </si>
  <si>
    <t>Deyala Ahmed Abousamra</t>
  </si>
  <si>
    <t>68</t>
  </si>
  <si>
    <t>69</t>
  </si>
  <si>
    <t>Rozana Ahmed Abousamra</t>
  </si>
  <si>
    <t>70</t>
  </si>
  <si>
    <t xml:space="preserve">Jaida Ayman badawi </t>
  </si>
  <si>
    <t>71</t>
  </si>
  <si>
    <t>Hana Abdelrehim</t>
  </si>
  <si>
    <t>72</t>
  </si>
  <si>
    <t>Nada Hany</t>
  </si>
  <si>
    <t>73</t>
  </si>
  <si>
    <t xml:space="preserve">Jana Emad </t>
  </si>
  <si>
    <t>74</t>
  </si>
  <si>
    <t>Maya Emad</t>
  </si>
  <si>
    <t>75</t>
  </si>
  <si>
    <t>76</t>
  </si>
  <si>
    <t xml:space="preserve">Anas Shaarawy </t>
  </si>
  <si>
    <t>77</t>
  </si>
  <si>
    <t>78</t>
  </si>
  <si>
    <t>79</t>
  </si>
  <si>
    <t>80</t>
  </si>
  <si>
    <t>81</t>
  </si>
  <si>
    <t>Sama Sherif</t>
  </si>
  <si>
    <t>82</t>
  </si>
  <si>
    <t>83</t>
  </si>
  <si>
    <t>84</t>
  </si>
  <si>
    <t>Lily Islam</t>
  </si>
  <si>
    <t>85</t>
  </si>
  <si>
    <t>86</t>
  </si>
  <si>
    <t>Dana Arafa</t>
  </si>
  <si>
    <t>87</t>
  </si>
  <si>
    <t>88</t>
  </si>
  <si>
    <t>89</t>
  </si>
  <si>
    <t>Mostafa Mohamed Hassan</t>
  </si>
  <si>
    <t>90</t>
  </si>
  <si>
    <t>Nouran Mohsen</t>
  </si>
  <si>
    <t>91</t>
  </si>
  <si>
    <t>Bassel Hamshary</t>
  </si>
  <si>
    <t>92</t>
  </si>
  <si>
    <t>93</t>
  </si>
  <si>
    <t xml:space="preserve">Elina </t>
  </si>
  <si>
    <t>94</t>
  </si>
  <si>
    <t>95</t>
  </si>
  <si>
    <t>Maya Mohamed</t>
  </si>
  <si>
    <t>96</t>
  </si>
  <si>
    <t>Caroline</t>
  </si>
  <si>
    <t>97</t>
  </si>
  <si>
    <t>98</t>
  </si>
  <si>
    <t>99</t>
  </si>
  <si>
    <t>Malak sherif</t>
  </si>
  <si>
    <t>100</t>
  </si>
  <si>
    <t>101</t>
  </si>
  <si>
    <t>102</t>
  </si>
  <si>
    <t>103</t>
  </si>
  <si>
    <t>Fayrouz Mohamed Abd elmoaty</t>
  </si>
  <si>
    <t>104</t>
  </si>
  <si>
    <t>Malak Osama</t>
  </si>
  <si>
    <t>105</t>
  </si>
  <si>
    <t>Fayrouz Mohamed Ibrahim</t>
  </si>
  <si>
    <t>106</t>
  </si>
  <si>
    <t>Sara Moftah</t>
  </si>
  <si>
    <t>107</t>
  </si>
  <si>
    <t>Kenzy</t>
  </si>
  <si>
    <t>108</t>
  </si>
  <si>
    <t>109</t>
  </si>
  <si>
    <t>Yasmen elsaid</t>
  </si>
  <si>
    <t>110</t>
  </si>
  <si>
    <t>Habiba Eldemerdash</t>
  </si>
  <si>
    <t>111</t>
  </si>
  <si>
    <t>112</t>
  </si>
  <si>
    <t>113</t>
  </si>
  <si>
    <t>114</t>
  </si>
  <si>
    <t>115</t>
  </si>
  <si>
    <t>116</t>
  </si>
  <si>
    <t>Jana Mahmoud</t>
  </si>
  <si>
    <t>117</t>
  </si>
  <si>
    <t>118</t>
  </si>
  <si>
    <t>119</t>
  </si>
  <si>
    <t>120</t>
  </si>
  <si>
    <t>121</t>
  </si>
  <si>
    <t>Celine Sameh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</si>
  <si>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</si>
  <si>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</si>
  <si>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</si>
  <si>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</si>
  <si>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</si>
  <si>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</si>
  <si>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</si>
  <si>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</si>
  <si>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</si>
  <si>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</si>
  <si>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</si>
  <si>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</si>
  <si>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sara nagy</t>
  </si>
  <si>
    <t>134</t>
  </si>
  <si>
    <t>135</t>
  </si>
  <si>
    <t>136</t>
  </si>
  <si>
    <t>137</t>
  </si>
  <si>
    <t>138</t>
  </si>
  <si>
    <t>139</t>
  </si>
  <si>
    <t>Shorouk Mohamed</t>
  </si>
  <si>
    <t>140</t>
  </si>
  <si>
    <t>Kenzy Khaled</t>
  </si>
  <si>
    <t>141</t>
  </si>
  <si>
    <t>142</t>
  </si>
  <si>
    <t>143</t>
  </si>
  <si>
    <t>144</t>
  </si>
  <si>
    <t>145</t>
  </si>
  <si>
    <t>146</t>
  </si>
  <si>
    <t>147</t>
  </si>
  <si>
    <t>148</t>
  </si>
  <si>
    <t>Lara Mostafa</t>
  </si>
  <si>
    <t>149</t>
  </si>
  <si>
    <t>150</t>
  </si>
  <si>
    <t>151</t>
  </si>
  <si>
    <t>Retaj Mohamed</t>
  </si>
  <si>
    <t>Lojain Ahmed Mohamed</t>
  </si>
  <si>
    <t>Yasmine Mahmoud</t>
  </si>
  <si>
    <t>Habiba Ashraf</t>
  </si>
  <si>
    <t>Maya stive</t>
  </si>
  <si>
    <t>Mariam el hodeiby</t>
  </si>
  <si>
    <t>Eisabelle</t>
  </si>
  <si>
    <t>Ola Hamdy</t>
  </si>
  <si>
    <t>Farah Amr</t>
  </si>
  <si>
    <t>Asser Haytham</t>
  </si>
  <si>
    <t>Nancy Tahoon</t>
  </si>
  <si>
    <t>Joud Mohamed</t>
  </si>
  <si>
    <t>Hanin Yehia</t>
  </si>
  <si>
    <t>Hanan Elsheikh</t>
  </si>
  <si>
    <t>Salma Osama</t>
  </si>
  <si>
    <t>Nourhan Osama</t>
  </si>
  <si>
    <t>Hania Hany</t>
  </si>
  <si>
    <t>Nawara Yasser</t>
  </si>
  <si>
    <t>Arwa Ahmed Abbas</t>
  </si>
  <si>
    <t>yasmin Mohamed Farouk</t>
  </si>
  <si>
    <t>Somaia Samer</t>
  </si>
  <si>
    <t>Karma Amr Saad</t>
  </si>
  <si>
    <t>Lobna Yasser</t>
  </si>
  <si>
    <t>Nouran Mamdouh</t>
  </si>
  <si>
    <t>Jala Essam</t>
  </si>
  <si>
    <t>Maya Alaa</t>
  </si>
  <si>
    <t>Noura Wael</t>
  </si>
  <si>
    <t>Khadija Mohamed</t>
  </si>
  <si>
    <t>Aliaa Ahmed</t>
  </si>
  <si>
    <t>Shahd Khaled</t>
  </si>
  <si>
    <t>Ethar Ahmed</t>
  </si>
  <si>
    <t>Tala Ahmed</t>
  </si>
  <si>
    <t>Morouj Hatem</t>
  </si>
  <si>
    <t>Malak Hatem</t>
  </si>
  <si>
    <t>yasmine Ahmed</t>
  </si>
  <si>
    <t>Alaa Elsherief</t>
  </si>
  <si>
    <t>Malak Ehab</t>
  </si>
  <si>
    <t>Rawan Abdel Mohsen</t>
  </si>
  <si>
    <t>Amany</t>
  </si>
  <si>
    <t>Farah El semary</t>
  </si>
  <si>
    <t>Joury El semary</t>
  </si>
  <si>
    <t>Mona Maamoun</t>
  </si>
  <si>
    <t>Hannah Khalifa</t>
  </si>
  <si>
    <t>Talia Ahmed</t>
  </si>
  <si>
    <t>Joudy Reda</t>
  </si>
  <si>
    <t>Shahd Elsaid</t>
  </si>
  <si>
    <t>Rawan Mamdouh</t>
  </si>
  <si>
    <t>Nadine Mostafa</t>
  </si>
  <si>
    <t>Nareman Osama</t>
  </si>
  <si>
    <t>Hayat Walid</t>
  </si>
  <si>
    <t>Joudy George</t>
  </si>
  <si>
    <t>Leen Ghoneim</t>
  </si>
  <si>
    <t>Mariam Farouk</t>
  </si>
  <si>
    <t>Nour Adawy</t>
  </si>
  <si>
    <t>Sara Khaled</t>
  </si>
  <si>
    <t>Malak Shahin</t>
  </si>
  <si>
    <t>Nour shatout</t>
  </si>
  <si>
    <t>Nancy Amin</t>
  </si>
  <si>
    <t>Shahd Khaled saeid</t>
  </si>
  <si>
    <t>Basmallah Ahmed</t>
  </si>
  <si>
    <t>Yasmine Ahmed</t>
  </si>
  <si>
    <t>Amina Mourad</t>
  </si>
  <si>
    <t>Hend Ahmed</t>
  </si>
  <si>
    <t>Ethar Fadl</t>
  </si>
  <si>
    <t>Member</t>
  </si>
  <si>
    <t>Bundle</t>
  </si>
  <si>
    <t>Amount</t>
  </si>
  <si>
    <t xml:space="preserve">Discount </t>
  </si>
  <si>
    <t>DOP</t>
  </si>
  <si>
    <t>Paid to</t>
  </si>
  <si>
    <t>Pain in</t>
  </si>
  <si>
    <t>L.Month</t>
  </si>
  <si>
    <t>Paid</t>
  </si>
  <si>
    <t>Total</t>
  </si>
  <si>
    <t>AB</t>
  </si>
  <si>
    <t>Off-Ice</t>
  </si>
  <si>
    <t>Attend</t>
  </si>
  <si>
    <t>Trainee/ Day</t>
  </si>
  <si>
    <t>Aya Khaled</t>
  </si>
  <si>
    <t>Dina Motawea</t>
  </si>
  <si>
    <t>Malika Mohamed</t>
  </si>
  <si>
    <t>Walaa</t>
  </si>
  <si>
    <t>Salma</t>
  </si>
  <si>
    <t>Mariam Mohamed Hassan</t>
  </si>
  <si>
    <t>Hana Tamer</t>
  </si>
  <si>
    <t>Hajar Abdelwahab</t>
  </si>
  <si>
    <t>Farah Magdy</t>
  </si>
  <si>
    <t>Maram Khaled</t>
  </si>
  <si>
    <t>Fatima</t>
  </si>
  <si>
    <t>40</t>
  </si>
  <si>
    <t>4-4</t>
  </si>
  <si>
    <t>152</t>
  </si>
  <si>
    <t>Allaa</t>
  </si>
  <si>
    <t>153</t>
  </si>
  <si>
    <t xml:space="preserve">Nouran </t>
  </si>
  <si>
    <t>Mariam El said</t>
  </si>
  <si>
    <t>154</t>
  </si>
  <si>
    <t>155</t>
  </si>
  <si>
    <t>Sara Ibrahim</t>
  </si>
  <si>
    <t>156</t>
  </si>
  <si>
    <t>157</t>
  </si>
  <si>
    <t>158</t>
  </si>
  <si>
    <t>159</t>
  </si>
  <si>
    <t>160</t>
  </si>
  <si>
    <t>Mathiew Mina</t>
  </si>
  <si>
    <t>Amira</t>
  </si>
  <si>
    <t>Mariam Elhefny</t>
  </si>
  <si>
    <t>Mahinar</t>
  </si>
  <si>
    <t>161</t>
  </si>
  <si>
    <t>Hossam Hassan</t>
  </si>
  <si>
    <t>162</t>
  </si>
  <si>
    <t>Adam</t>
  </si>
  <si>
    <t>163</t>
  </si>
  <si>
    <t>Joustina Hatem</t>
  </si>
  <si>
    <t>Justina Riad</t>
  </si>
  <si>
    <t>164</t>
  </si>
  <si>
    <t>Karen Walid</t>
  </si>
  <si>
    <t>165</t>
  </si>
  <si>
    <t>166</t>
  </si>
  <si>
    <t>167</t>
  </si>
  <si>
    <t>168</t>
  </si>
  <si>
    <t>Hana El gendy</t>
  </si>
  <si>
    <t>Menna Saad</t>
  </si>
  <si>
    <t>Hala Ahmed</t>
  </si>
  <si>
    <t>Abdelrahman Magdy</t>
  </si>
  <si>
    <t>169</t>
  </si>
  <si>
    <t>170</t>
  </si>
  <si>
    <t>171</t>
  </si>
  <si>
    <t>Salma Taha</t>
  </si>
  <si>
    <t>172</t>
  </si>
  <si>
    <t>Ghada Ahmed</t>
  </si>
  <si>
    <t>173</t>
  </si>
  <si>
    <t>Roaa Barakat</t>
  </si>
  <si>
    <t>174</t>
  </si>
  <si>
    <t>Amira Osama</t>
  </si>
  <si>
    <t xml:space="preserve">Carmen </t>
  </si>
  <si>
    <t>175</t>
  </si>
  <si>
    <t>176</t>
  </si>
  <si>
    <t>177</t>
  </si>
  <si>
    <t>178</t>
  </si>
  <si>
    <t>NerminRoushdy</t>
  </si>
  <si>
    <t>Tia Mohamed</t>
  </si>
  <si>
    <t>179</t>
  </si>
  <si>
    <t>Arwa Gabr</t>
  </si>
  <si>
    <t>180</t>
  </si>
  <si>
    <t>181</t>
  </si>
  <si>
    <t>Nourhan soliman</t>
  </si>
  <si>
    <t>182</t>
  </si>
  <si>
    <t>183</t>
  </si>
  <si>
    <t>Mayan Adel</t>
  </si>
  <si>
    <t>Asmaa Mahmoud</t>
  </si>
  <si>
    <t>Farida Hassan</t>
  </si>
  <si>
    <t>Marina Samy</t>
  </si>
  <si>
    <t>184</t>
  </si>
  <si>
    <t>185</t>
  </si>
  <si>
    <t>Sara Shawkat</t>
  </si>
  <si>
    <t>Dema</t>
  </si>
  <si>
    <t>186</t>
  </si>
  <si>
    <t>187</t>
  </si>
  <si>
    <t>188</t>
  </si>
  <si>
    <t>189</t>
  </si>
  <si>
    <t>Miechalle Effat</t>
  </si>
  <si>
    <t>Daniealle Effat</t>
  </si>
  <si>
    <t>Tamara Haesiat</t>
  </si>
  <si>
    <t>Dalia</t>
  </si>
  <si>
    <t>190</t>
  </si>
  <si>
    <t>Retaj Wael</t>
  </si>
  <si>
    <t>191</t>
  </si>
  <si>
    <t xml:space="preserve">Omar Magdy </t>
  </si>
  <si>
    <t>Abdelrahman Mostafa</t>
  </si>
  <si>
    <t>192</t>
  </si>
  <si>
    <t>193</t>
  </si>
  <si>
    <t>Retal Mohamed</t>
  </si>
  <si>
    <t>194</t>
  </si>
  <si>
    <t>195</t>
  </si>
  <si>
    <t>Tulin Elsayed Homayed</t>
  </si>
  <si>
    <t>Gehad Elsayed Homayed</t>
  </si>
  <si>
    <t>Dina</t>
  </si>
  <si>
    <t>196</t>
  </si>
  <si>
    <t>Mariam Khaled</t>
  </si>
  <si>
    <t>197</t>
  </si>
  <si>
    <t>Hana Alaa</t>
  </si>
  <si>
    <t>Rofaida Helmy</t>
  </si>
  <si>
    <t>Heba Nasr</t>
  </si>
  <si>
    <t>Nour Ragb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</si>
  <si>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</si>
  <si>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</si>
  <si>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</si>
  <si>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</si>
  <si>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</si>
  <si>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</si>
  <si>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</si>
  <si>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</si>
  <si>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</si>
  <si>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</si>
  <si>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</si>
  <si>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 xml:space="preserve">Mirna </t>
  </si>
  <si>
    <t>Martena Raafa</t>
  </si>
  <si>
    <t>Shieren Mohamed</t>
  </si>
  <si>
    <t>Sandra Mohamed</t>
  </si>
  <si>
    <t>Salma Saty</t>
  </si>
  <si>
    <t>Caroline Heshmat</t>
  </si>
  <si>
    <t>Nadine Ahmed</t>
  </si>
  <si>
    <t>Malak Kattaya</t>
  </si>
  <si>
    <t>209</t>
  </si>
  <si>
    <t>210</t>
  </si>
  <si>
    <t>211</t>
  </si>
  <si>
    <t>Khadija Moustafa</t>
  </si>
  <si>
    <t>212</t>
  </si>
  <si>
    <t>Dana Kareem</t>
  </si>
  <si>
    <t>213</t>
  </si>
  <si>
    <t>214</t>
  </si>
  <si>
    <t>Emy sherief</t>
  </si>
  <si>
    <t>Maya Sherief</t>
  </si>
  <si>
    <t>215</t>
  </si>
  <si>
    <t>Aseel Mohamed elsaid</t>
  </si>
  <si>
    <t>216</t>
  </si>
  <si>
    <t>Adele</t>
  </si>
  <si>
    <t>217</t>
  </si>
  <si>
    <t>218</t>
  </si>
  <si>
    <t>Robana elsaid</t>
  </si>
  <si>
    <t>Aliaa Amr</t>
  </si>
  <si>
    <t>219</t>
  </si>
  <si>
    <t>Karma Emad</t>
  </si>
  <si>
    <t>Menna Elhalwany</t>
  </si>
  <si>
    <t>220</t>
  </si>
  <si>
    <t>Yasmine Walid</t>
  </si>
  <si>
    <t>Hadal Magdy</t>
  </si>
  <si>
    <t>221</t>
  </si>
  <si>
    <t>222</t>
  </si>
  <si>
    <t>223</t>
  </si>
  <si>
    <t>224</t>
  </si>
  <si>
    <t>Angila John</t>
  </si>
  <si>
    <t>Elina Kamel</t>
  </si>
  <si>
    <t>Marley</t>
  </si>
  <si>
    <t>Mariam Mina</t>
  </si>
  <si>
    <t>Maria Mina</t>
  </si>
  <si>
    <t>225</t>
  </si>
  <si>
    <t>226</t>
  </si>
  <si>
    <t>227</t>
  </si>
  <si>
    <t>Mohame Osama</t>
  </si>
  <si>
    <t>Rose Mary</t>
  </si>
  <si>
    <t>Sara Mohamed Ali</t>
  </si>
  <si>
    <t>Haidy Essam</t>
  </si>
  <si>
    <t>228</t>
  </si>
  <si>
    <t>229</t>
  </si>
  <si>
    <t>230</t>
  </si>
  <si>
    <t>Jumana Ali</t>
  </si>
  <si>
    <t>Zeina Ali</t>
  </si>
  <si>
    <t>Salma Zaki</t>
  </si>
  <si>
    <t>Mariam Magdy</t>
  </si>
  <si>
    <t>Salma Khaled</t>
  </si>
  <si>
    <t>231</t>
  </si>
  <si>
    <t>232</t>
  </si>
  <si>
    <t>233</t>
  </si>
  <si>
    <t>Yasmina Sherwella</t>
  </si>
  <si>
    <t>Farida Elsaid</t>
  </si>
  <si>
    <t>234</t>
  </si>
  <si>
    <t>Shahd Hesham</t>
  </si>
  <si>
    <t>Lydia Adel</t>
  </si>
  <si>
    <t>Carol Ehab</t>
  </si>
  <si>
    <t>Sama Osama</t>
  </si>
  <si>
    <t>235</t>
  </si>
  <si>
    <t>236</t>
  </si>
  <si>
    <t>237</t>
  </si>
  <si>
    <t>238</t>
  </si>
  <si>
    <t>239</t>
  </si>
  <si>
    <t xml:space="preserve">Joudy Khaled </t>
  </si>
  <si>
    <t>Malika Ahmed</t>
  </si>
  <si>
    <t>Massa Ahmed</t>
  </si>
  <si>
    <t>240</t>
  </si>
  <si>
    <t>241</t>
  </si>
  <si>
    <t>Malak Mohamed</t>
  </si>
  <si>
    <t>Nour Fady</t>
  </si>
  <si>
    <t>242</t>
  </si>
  <si>
    <t>243</t>
  </si>
  <si>
    <t>Nour Eldarqawy</t>
  </si>
  <si>
    <t>Aya Tmoum</t>
  </si>
  <si>
    <t>Maya Ashraf samir</t>
  </si>
  <si>
    <t>244</t>
  </si>
  <si>
    <t>245</t>
  </si>
  <si>
    <t>246</t>
  </si>
  <si>
    <t>Anglina Beshoy</t>
  </si>
  <si>
    <t>247</t>
  </si>
  <si>
    <t>Joudy george</t>
  </si>
  <si>
    <t>!!</t>
  </si>
  <si>
    <t>248</t>
  </si>
  <si>
    <t>249</t>
  </si>
  <si>
    <t>250</t>
  </si>
  <si>
    <t>251</t>
  </si>
  <si>
    <t>252</t>
  </si>
  <si>
    <t>Nada Mohamed</t>
  </si>
  <si>
    <t>Salma Ali</t>
  </si>
  <si>
    <t>Radwa Abdelfattah</t>
  </si>
  <si>
    <t>Darine Tamer</t>
  </si>
  <si>
    <t>Fayrouz Tamer</t>
  </si>
  <si>
    <t>Menna Yehia</t>
  </si>
  <si>
    <t>253</t>
  </si>
  <si>
    <t>Mariam Hashad</t>
  </si>
  <si>
    <t>254</t>
  </si>
  <si>
    <t>Lama Marei</t>
  </si>
  <si>
    <t>Remary</t>
  </si>
  <si>
    <t>Hassan Hatem</t>
  </si>
  <si>
    <t>Malak Yasser</t>
  </si>
  <si>
    <t xml:space="preserve">Menna Ashraf 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</si>
  <si>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</si>
  <si>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</si>
  <si>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</si>
  <si>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</si>
  <si>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</si>
  <si>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</si>
  <si>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</si>
  <si>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</si>
  <si>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</si>
  <si>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Anouf Omar</t>
  </si>
  <si>
    <t>Zeinab Omar</t>
  </si>
  <si>
    <t>Mila Maged</t>
  </si>
  <si>
    <t>Mira Maged</t>
  </si>
  <si>
    <t>264</t>
  </si>
  <si>
    <t>Abdelwahab Omar</t>
  </si>
  <si>
    <t>Fayrouz elghazaly</t>
  </si>
  <si>
    <t>Nadine elghazaly</t>
  </si>
  <si>
    <t>265</t>
  </si>
  <si>
    <t>266</t>
  </si>
  <si>
    <t>267</t>
  </si>
  <si>
    <t>Maya wael</t>
  </si>
  <si>
    <t>268</t>
  </si>
  <si>
    <t>Haidy Mohsen</t>
  </si>
  <si>
    <t>Celina Ayad</t>
  </si>
  <si>
    <t>269</t>
  </si>
  <si>
    <t>Jana Makram</t>
  </si>
  <si>
    <t>270</t>
  </si>
  <si>
    <t>271</t>
  </si>
  <si>
    <t>Salma Elsaid</t>
  </si>
  <si>
    <t>272</t>
  </si>
  <si>
    <t>Laila Elalfy</t>
  </si>
  <si>
    <t>273</t>
  </si>
  <si>
    <t>Nehal Hafez</t>
  </si>
  <si>
    <t>274</t>
  </si>
  <si>
    <t>Hams Hany</t>
  </si>
  <si>
    <t>Jana Ahmed</t>
  </si>
  <si>
    <t>275</t>
  </si>
  <si>
    <t>276</t>
  </si>
  <si>
    <t>Menna Mohsen</t>
  </si>
  <si>
    <t>277</t>
  </si>
  <si>
    <t>278</t>
  </si>
  <si>
    <t>279</t>
  </si>
  <si>
    <t>Kenda Ahmed</t>
  </si>
  <si>
    <t>Carol Ibrahim</t>
  </si>
  <si>
    <t>Sama Hussein</t>
  </si>
  <si>
    <t>280</t>
  </si>
  <si>
    <t>Nada Tarek</t>
  </si>
  <si>
    <t>Nour Mahfouz</t>
  </si>
  <si>
    <t>Laila Elsherif</t>
  </si>
  <si>
    <t>Anourin</t>
  </si>
  <si>
    <t>Dina Elgazzar</t>
  </si>
  <si>
    <t>281</t>
  </si>
  <si>
    <t>282</t>
  </si>
  <si>
    <t>283</t>
  </si>
  <si>
    <t>284</t>
  </si>
  <si>
    <t>Nancy Ahmed</t>
  </si>
  <si>
    <t>Sara Magdy</t>
  </si>
  <si>
    <t>Hanan Alaa</t>
  </si>
  <si>
    <t>Mona Elshenwany</t>
  </si>
  <si>
    <t>Farah Etman</t>
  </si>
  <si>
    <t>Bothaina Ayman</t>
  </si>
  <si>
    <t>Karma Albelbaisy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</si>
  <si>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</si>
  <si>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</si>
  <si>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</si>
  <si>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</si>
  <si>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</si>
  <si>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</si>
  <si>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</si>
  <si>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</si>
  <si>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</si>
  <si>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</si>
  <si>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</si>
  <si>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</si>
  <si>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</si>
  <si>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</si>
  <si>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</si>
  <si>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</si>
  <si>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</si>
  <si>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-</t>
  </si>
  <si>
    <t>Lucienda Shady</t>
  </si>
  <si>
    <t>Mariam Ashmawy</t>
  </si>
  <si>
    <t>Nada Abotaleb</t>
  </si>
  <si>
    <t>Salma Foad</t>
  </si>
  <si>
    <t>Mai Elfeky</t>
  </si>
  <si>
    <t>Nada Hatem</t>
  </si>
  <si>
    <t>Toka Saber Sherief</t>
  </si>
  <si>
    <t>Shokran Sameh</t>
  </si>
  <si>
    <t>Hana Karam</t>
  </si>
  <si>
    <t>Farida Emad</t>
  </si>
  <si>
    <t>Veronia Sameh</t>
  </si>
  <si>
    <t>Youmna wael</t>
  </si>
  <si>
    <t>302</t>
  </si>
  <si>
    <t>303</t>
  </si>
  <si>
    <t>Mariam Essam</t>
  </si>
  <si>
    <t>Sila Abdelfattah</t>
  </si>
  <si>
    <t>Rehab Gamal</t>
  </si>
  <si>
    <t>304</t>
  </si>
  <si>
    <t>305</t>
  </si>
  <si>
    <t>Roba Ramy</t>
  </si>
  <si>
    <t>306</t>
  </si>
  <si>
    <t>Hassan</t>
  </si>
  <si>
    <t>Fayrouz</t>
  </si>
  <si>
    <t>angila john</t>
  </si>
  <si>
    <t>Rawan Khaled</t>
  </si>
  <si>
    <t>307</t>
  </si>
  <si>
    <t>Farida</t>
  </si>
  <si>
    <t xml:space="preserve">Alia </t>
  </si>
  <si>
    <t>Shereen</t>
  </si>
  <si>
    <t>Menna Ayman</t>
  </si>
  <si>
    <t>alia</t>
  </si>
  <si>
    <t>Mayan</t>
  </si>
  <si>
    <t>wafaa</t>
  </si>
  <si>
    <t>Karma Morgan</t>
  </si>
  <si>
    <t>Aliaa naggar</t>
  </si>
  <si>
    <t>13-6 \ 20-6 \ 27-6</t>
  </si>
  <si>
    <t>Plus 2 auditions from hajar</t>
  </si>
  <si>
    <t>3 eman</t>
  </si>
  <si>
    <t>Shereen Mohamed</t>
  </si>
  <si>
    <t>Wafaa</t>
  </si>
  <si>
    <t>6-13 / 6-25</t>
  </si>
  <si>
    <t>Dina Ahmed</t>
  </si>
  <si>
    <t>Audition</t>
  </si>
  <si>
    <t>Audttion</t>
  </si>
  <si>
    <t xml:space="preserve">Aisha </t>
  </si>
  <si>
    <t>Rawan Abdel mohsen</t>
  </si>
  <si>
    <t>4 clara</t>
  </si>
  <si>
    <t>Plus 1 auditions from Clara</t>
  </si>
  <si>
    <t>Nelly Hady</t>
  </si>
  <si>
    <t>Martina Milad</t>
  </si>
  <si>
    <t>Yasmin Ismail</t>
  </si>
  <si>
    <t>Nada Mohamed Hamed</t>
  </si>
  <si>
    <t>Talia Omar</t>
  </si>
  <si>
    <t>Charlie</t>
  </si>
  <si>
    <t>Nada Soliman</t>
  </si>
  <si>
    <t>Lojain Waleed</t>
  </si>
  <si>
    <t>Omar</t>
  </si>
  <si>
    <t>Alia</t>
  </si>
  <si>
    <t>308</t>
  </si>
  <si>
    <t>309</t>
  </si>
  <si>
    <t>310</t>
  </si>
  <si>
    <t>311</t>
  </si>
  <si>
    <t>312</t>
  </si>
  <si>
    <t>313</t>
  </si>
  <si>
    <t>314</t>
  </si>
  <si>
    <t>Session'</t>
  </si>
  <si>
    <t>1 Hajar</t>
  </si>
  <si>
    <t>11 missing</t>
  </si>
  <si>
    <t>3 maryam</t>
  </si>
  <si>
    <t>9-6 \ 23-6 \30-6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</si>
</sst>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dddd&quot;, &quot;mmmm&quot; &quot;d&quot;, &quot;yyyy"/>
  </numFmts>
  <fonts count="34">
    <font>
      <sz val="10"/>
      <color rgb="FF000000"/>
      <name val="Arial"/>
      <scheme val="minor"/>
    </font>
    <font>
      <b/>
      <sz val="10"/>
      <color theme="1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FF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0"/>
      <color rgb="FF980000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Verdana"/>
      <family val="2"/>
    </font>
    <font>
      <b/>
      <sz val="12"/>
      <color theme="1"/>
      <name val="Comfortaa"/>
    </font>
    <font>
      <sz val="11"/>
      <color theme="1"/>
      <name val="Verdana"/>
      <family val="2"/>
    </font>
    <font>
      <sz val="11"/>
      <color theme="1"/>
      <name val="Arial"/>
      <family val="2"/>
      <scheme val="minor"/>
    </font>
    <font>
      <sz val="10"/>
      <color theme="1"/>
      <name val="Comfortaa"/>
    </font>
    <font>
      <b/>
      <sz val="12"/>
      <color theme="1"/>
      <name val="Arial"/>
      <family val="2"/>
    </font>
    <font>
      <b/>
      <sz val="11"/>
      <color rgb="FFFF00FF"/>
      <name val="Arial"/>
      <family val="2"/>
    </font>
    <font>
      <b/>
      <sz val="11"/>
      <color theme="1"/>
      <name val="Arial"/>
      <family val="2"/>
    </font>
    <font>
      <b/>
      <sz val="11"/>
      <color rgb="FFD9D9D9"/>
      <name val="Arial"/>
      <family val="2"/>
    </font>
    <font>
      <b/>
      <sz val="12"/>
      <color rgb="FFD9D9D9"/>
      <name val="Arial"/>
      <family val="2"/>
    </font>
    <font>
      <b/>
      <strike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8"/>
      <name val="Arial"/>
      <family val="2"/>
      <scheme val="minor"/>
    </font>
    <font>
      <sz val="10"/>
      <color theme="1"/>
      <name val="Verdana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434343"/>
        <bgColor rgb="FF434343"/>
      </patternFill>
    </fill>
    <fill>
      <patternFill patternType="solid">
        <fgColor rgb="FF7F7F7F"/>
        <bgColor rgb="FF7F7F7F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1" fillId="0" borderId="4" xfId="0" applyFont="1" applyBorder="1" applyAlignment="1">
      <alignment horizontal="center" wrapText="1"/>
    </xf>
    <xf numFmtId="0" fontId="4" fillId="0" borderId="4" xfId="0" applyFont="1" applyBorder="1"/>
    <xf numFmtId="0" fontId="5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wrapText="1"/>
    </xf>
    <xf numFmtId="0" fontId="3" fillId="2" borderId="4" xfId="0" applyFont="1" applyFill="1" applyBorder="1"/>
    <xf numFmtId="0" fontId="3" fillId="0" borderId="4" xfId="0" applyFont="1" applyBorder="1"/>
    <xf numFmtId="0" fontId="1" fillId="0" borderId="4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 wrapText="1"/>
    </xf>
    <xf numFmtId="164" fontId="3" fillId="0" borderId="0" xfId="0" applyNumberFormat="1" applyFont="1"/>
    <xf numFmtId="0" fontId="7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3" fillId="2" borderId="8" xfId="0" applyFont="1" applyFill="1" applyBorder="1"/>
    <xf numFmtId="0" fontId="13" fillId="8" borderId="7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left"/>
    </xf>
    <xf numFmtId="0" fontId="4" fillId="0" borderId="0" xfId="0" applyFont="1"/>
    <xf numFmtId="0" fontId="17" fillId="0" borderId="9" xfId="0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/>
    <xf numFmtId="0" fontId="7" fillId="0" borderId="10" xfId="0" applyFont="1" applyBorder="1"/>
    <xf numFmtId="0" fontId="7" fillId="0" borderId="9" xfId="0" applyFont="1" applyBorder="1"/>
    <xf numFmtId="0" fontId="7" fillId="0" borderId="12" xfId="0" applyFont="1" applyBorder="1" applyAlignment="1">
      <alignment horizontal="center"/>
    </xf>
    <xf numFmtId="0" fontId="7" fillId="0" borderId="8" xfId="0" applyFont="1" applyBorder="1"/>
    <xf numFmtId="0" fontId="7" fillId="0" borderId="12" xfId="0" applyFont="1" applyBorder="1"/>
    <xf numFmtId="0" fontId="7" fillId="0" borderId="0" xfId="0" applyFont="1" applyAlignment="1">
      <alignment horizontal="center"/>
    </xf>
    <xf numFmtId="14" fontId="20" fillId="14" borderId="10" xfId="0" applyNumberFormat="1" applyFont="1" applyFill="1" applyBorder="1" applyAlignment="1">
      <alignment horizontal="center"/>
    </xf>
    <xf numFmtId="0" fontId="20" fillId="14" borderId="0" xfId="0" applyFont="1" applyFill="1" applyAlignment="1">
      <alignment horizontal="center"/>
    </xf>
    <xf numFmtId="14" fontId="21" fillId="0" borderId="7" xfId="0" applyNumberFormat="1" applyFont="1" applyBorder="1" applyAlignment="1">
      <alignment horizontal="right"/>
    </xf>
    <xf numFmtId="0" fontId="21" fillId="0" borderId="8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2" fillId="14" borderId="0" xfId="0" applyFont="1" applyFill="1" applyAlignment="1">
      <alignment horizontal="center"/>
    </xf>
    <xf numFmtId="0" fontId="23" fillId="14" borderId="3" xfId="0" applyFont="1" applyFill="1" applyBorder="1" applyAlignment="1">
      <alignment horizontal="center"/>
    </xf>
    <xf numFmtId="0" fontId="23" fillId="14" borderId="2" xfId="0" applyFont="1" applyFill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14" fontId="21" fillId="0" borderId="7" xfId="0" applyNumberFormat="1" applyFont="1" applyBorder="1" applyAlignment="1">
      <alignment horizontal="left"/>
    </xf>
    <xf numFmtId="14" fontId="21" fillId="0" borderId="7" xfId="0" applyNumberFormat="1" applyFont="1" applyBorder="1"/>
    <xf numFmtId="14" fontId="21" fillId="0" borderId="5" xfId="0" applyNumberFormat="1" applyFont="1" applyBorder="1" applyAlignment="1">
      <alignment horizontal="right"/>
    </xf>
    <xf numFmtId="0" fontId="21" fillId="0" borderId="12" xfId="0" applyFont="1" applyBorder="1" applyAlignment="1">
      <alignment horizontal="center"/>
    </xf>
    <xf numFmtId="14" fontId="21" fillId="0" borderId="5" xfId="0" applyNumberFormat="1" applyFont="1" applyBorder="1"/>
    <xf numFmtId="0" fontId="10" fillId="0" borderId="12" xfId="0" applyFont="1" applyBorder="1" applyAlignment="1">
      <alignment horizontal="center"/>
    </xf>
    <xf numFmtId="14" fontId="20" fillId="15" borderId="10" xfId="0" applyNumberFormat="1" applyFont="1" applyFill="1" applyBorder="1" applyAlignment="1">
      <alignment horizontal="center"/>
    </xf>
    <xf numFmtId="14" fontId="21" fillId="0" borderId="4" xfId="0" applyNumberFormat="1" applyFont="1" applyBorder="1"/>
    <xf numFmtId="14" fontId="25" fillId="0" borderId="4" xfId="0" applyNumberFormat="1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10" fillId="0" borderId="4" xfId="0" applyFont="1" applyBorder="1"/>
    <xf numFmtId="14" fontId="10" fillId="0" borderId="4" xfId="0" applyNumberFormat="1" applyFont="1" applyBorder="1"/>
    <xf numFmtId="14" fontId="4" fillId="0" borderId="0" xfId="0" applyNumberFormat="1" applyFont="1"/>
    <xf numFmtId="0" fontId="15" fillId="9" borderId="5" xfId="0" applyFont="1" applyFill="1" applyBorder="1" applyAlignment="1">
      <alignment horizontal="center"/>
    </xf>
    <xf numFmtId="0" fontId="16" fillId="3" borderId="14" xfId="0" applyFont="1" applyFill="1" applyBorder="1"/>
    <xf numFmtId="0" fontId="16" fillId="10" borderId="14" xfId="0" applyFont="1" applyFill="1" applyBorder="1"/>
    <xf numFmtId="0" fontId="16" fillId="2" borderId="14" xfId="0" applyFont="1" applyFill="1" applyBorder="1"/>
    <xf numFmtId="0" fontId="16" fillId="11" borderId="14" xfId="0" applyFont="1" applyFill="1" applyBorder="1"/>
    <xf numFmtId="0" fontId="16" fillId="7" borderId="14" xfId="0" applyFont="1" applyFill="1" applyBorder="1" applyAlignment="1">
      <alignment horizontal="left"/>
    </xf>
    <xf numFmtId="0" fontId="7" fillId="9" borderId="14" xfId="0" applyFont="1" applyFill="1" applyBorder="1"/>
    <xf numFmtId="14" fontId="16" fillId="2" borderId="14" xfId="0" applyNumberFormat="1" applyFont="1" applyFill="1" applyBorder="1" applyAlignment="1">
      <alignment horizontal="left"/>
    </xf>
    <xf numFmtId="0" fontId="4" fillId="12" borderId="14" xfId="0" applyFont="1" applyFill="1" applyBorder="1"/>
    <xf numFmtId="0" fontId="13" fillId="3" borderId="14" xfId="0" applyFont="1" applyFill="1" applyBorder="1"/>
    <xf numFmtId="0" fontId="14" fillId="3" borderId="14" xfId="0" applyFont="1" applyFill="1" applyBorder="1" applyAlignment="1">
      <alignment horizontal="center"/>
    </xf>
    <xf numFmtId="0" fontId="14" fillId="3" borderId="14" xfId="0" applyFont="1" applyFill="1" applyBorder="1"/>
    <xf numFmtId="0" fontId="14" fillId="13" borderId="14" xfId="0" applyFont="1" applyFill="1" applyBorder="1"/>
    <xf numFmtId="0" fontId="3" fillId="3" borderId="14" xfId="0" applyFont="1" applyFill="1" applyBorder="1"/>
    <xf numFmtId="0" fontId="0" fillId="0" borderId="14" xfId="0" applyBorder="1"/>
    <xf numFmtId="0" fontId="7" fillId="0" borderId="14" xfId="0" applyFont="1" applyBorder="1" applyAlignment="1">
      <alignment horizontal="center"/>
    </xf>
    <xf numFmtId="0" fontId="7" fillId="0" borderId="14" xfId="0" applyFont="1" applyBorder="1"/>
    <xf numFmtId="165" fontId="18" fillId="13" borderId="14" xfId="0" applyNumberFormat="1" applyFont="1" applyFill="1" applyBorder="1" applyAlignment="1">
      <alignment horizontal="center"/>
    </xf>
    <xf numFmtId="0" fontId="20" fillId="14" borderId="0" xfId="0" applyFont="1" applyFill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3" fillId="14" borderId="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14" xfId="0" applyFont="1" applyBorder="1" applyAlignment="1">
      <alignment horizontal="center"/>
    </xf>
    <xf numFmtId="14" fontId="21" fillId="0" borderId="6" xfId="0" applyNumberFormat="1" applyFont="1" applyBorder="1"/>
    <xf numFmtId="0" fontId="21" fillId="0" borderId="11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14" fillId="0" borderId="0" xfId="0" applyFont="1"/>
    <xf numFmtId="14" fontId="21" fillId="0" borderId="14" xfId="0" applyNumberFormat="1" applyFont="1" applyBorder="1"/>
    <xf numFmtId="0" fontId="21" fillId="0" borderId="16" xfId="0" applyFont="1" applyBorder="1" applyAlignment="1">
      <alignment horizontal="center"/>
    </xf>
    <xf numFmtId="0" fontId="28" fillId="6" borderId="7" xfId="0" applyFont="1" applyFill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28" fillId="3" borderId="14" xfId="0" applyFont="1" applyFill="1" applyBorder="1" applyAlignment="1">
      <alignment horizontal="center"/>
    </xf>
    <xf numFmtId="0" fontId="28" fillId="3" borderId="14" xfId="0" applyFont="1" applyFill="1" applyBorder="1"/>
    <xf numFmtId="0" fontId="30" fillId="0" borderId="17" xfId="0" applyFont="1" applyBorder="1" applyAlignment="1">
      <alignment horizontal="center" wrapText="1"/>
    </xf>
    <xf numFmtId="0" fontId="30" fillId="0" borderId="18" xfId="0" applyFont="1" applyBorder="1" applyAlignment="1">
      <alignment horizontal="center" wrapText="1"/>
    </xf>
    <xf numFmtId="14" fontId="21" fillId="0" borderId="0" xfId="0" applyNumberFormat="1" applyFont="1"/>
    <xf numFmtId="14" fontId="21" fillId="16" borderId="7" xfId="0" applyNumberFormat="1" applyFont="1" applyFill="1" applyBorder="1" applyAlignment="1">
      <alignment horizontal="right"/>
    </xf>
    <xf numFmtId="0" fontId="21" fillId="16" borderId="8" xfId="0" applyFont="1" applyFill="1" applyBorder="1" applyAlignment="1">
      <alignment horizontal="center"/>
    </xf>
    <xf numFmtId="0" fontId="21" fillId="16" borderId="9" xfId="0" applyFont="1" applyFill="1" applyBorder="1" applyAlignment="1">
      <alignment horizontal="center"/>
    </xf>
    <xf numFmtId="0" fontId="21" fillId="16" borderId="7" xfId="0" applyFont="1" applyFill="1" applyBorder="1" applyAlignment="1">
      <alignment horizontal="center"/>
    </xf>
    <xf numFmtId="0" fontId="21" fillId="16" borderId="3" xfId="0" applyFont="1" applyFill="1" applyBorder="1" applyAlignment="1">
      <alignment horizontal="center"/>
    </xf>
    <xf numFmtId="0" fontId="3" fillId="16" borderId="8" xfId="0" applyFont="1" applyFill="1" applyBorder="1" applyAlignment="1">
      <alignment horizontal="center" vertical="center"/>
    </xf>
    <xf numFmtId="0" fontId="21" fillId="16" borderId="2" xfId="0" applyFont="1" applyFill="1" applyBorder="1" applyAlignment="1">
      <alignment horizontal="center"/>
    </xf>
    <xf numFmtId="0" fontId="21" fillId="16" borderId="4" xfId="0" applyFont="1" applyFill="1" applyBorder="1" applyAlignment="1">
      <alignment horizontal="center"/>
    </xf>
    <xf numFmtId="14" fontId="24" fillId="16" borderId="4" xfId="0" applyNumberFormat="1" applyFont="1" applyFill="1" applyBorder="1"/>
    <xf numFmtId="0" fontId="3" fillId="16" borderId="13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4" fillId="3" borderId="14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1" fillId="9" borderId="14" xfId="0" applyFont="1" applyFill="1" applyBorder="1"/>
    <xf numFmtId="0" fontId="32" fillId="0" borderId="0" xfId="1"/>
    <xf numFmtId="16" fontId="0" fillId="0" borderId="0" xfId="0" applyNumberFormat="1"/>
    <xf numFmtId="0" fontId="23" fillId="14" borderId="9" xfId="0" applyFont="1" applyFill="1" applyBorder="1" applyAlignment="1">
      <alignment horizontal="center"/>
    </xf>
    <xf numFmtId="0" fontId="30" fillId="0" borderId="20" xfId="0" applyFont="1" applyBorder="1" applyAlignment="1">
      <alignment horizontal="center" wrapText="1"/>
    </xf>
    <xf numFmtId="0" fontId="29" fillId="0" borderId="17" xfId="0" applyFont="1" applyBorder="1" applyAlignment="1">
      <alignment horizontal="center"/>
    </xf>
    <xf numFmtId="0" fontId="30" fillId="0" borderId="21" xfId="0" applyFont="1" applyBorder="1" applyAlignment="1">
      <alignment horizontal="center" wrapText="1"/>
    </xf>
    <xf numFmtId="14" fontId="19" fillId="0" borderId="22" xfId="0" applyNumberFormat="1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21" fillId="0" borderId="2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21" fillId="16" borderId="26" xfId="0" applyFont="1" applyFill="1" applyBorder="1" applyAlignment="1">
      <alignment horizontal="center"/>
    </xf>
    <xf numFmtId="0" fontId="21" fillId="16" borderId="28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0" fontId="21" fillId="16" borderId="29" xfId="0" applyFont="1" applyFill="1" applyBorder="1" applyAlignment="1">
      <alignment horizontal="center"/>
    </xf>
    <xf numFmtId="0" fontId="33" fillId="0" borderId="0" xfId="0" applyFont="1"/>
    <xf numFmtId="0" fontId="21" fillId="0" borderId="30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/>
    <xf numFmtId="0" fontId="1" fillId="0" borderId="5" xfId="0" applyFont="1" applyBorder="1" applyAlignment="1">
      <alignment horizontal="center" wrapText="1"/>
    </xf>
    <xf numFmtId="0" fontId="2" fillId="0" borderId="6" xfId="0" applyFont="1" applyBorder="1"/>
    <xf numFmtId="0" fontId="2" fillId="0" borderId="7" xfId="0" applyFont="1" applyBorder="1"/>
    <xf numFmtId="0" fontId="4" fillId="0" borderId="5" xfId="0" applyFont="1" applyBorder="1"/>
    <xf numFmtId="0" fontId="8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11" fillId="5" borderId="5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165" fontId="18" fillId="13" borderId="1" xfId="0" applyNumberFormat="1" applyFont="1" applyFill="1" applyBorder="1" applyAlignment="1">
      <alignment horizontal="center"/>
    </xf>
    <xf numFmtId="165" fontId="18" fillId="13" borderId="2" xfId="0" applyNumberFormat="1" applyFont="1" applyFill="1" applyBorder="1" applyAlignment="1">
      <alignment horizontal="center"/>
    </xf>
    <xf numFmtId="165" fontId="18" fillId="13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8"/>
  <sheetViews>
    <sheetView zoomScaleNormal="100" workbookViewId="0">
      <selection activeCell="E15" sqref="E15"/>
    </sheetView>
  </sheetViews>
  <sheetFormatPr defaultColWidth="12.5703125" defaultRowHeight="15.75" customHeight="1"/>
  <cols>
    <col min="1" max="1" width="14.5703125" customWidth="1"/>
    <col min="2" max="2" width="14.28515625" customWidth="1"/>
    <col min="3" max="3" width="14.5703125" customWidth="1"/>
    <col min="5" max="5" width="14" customWidth="1"/>
    <col min="6" max="6" width="14.7109375" customWidth="1"/>
    <col min="9" max="9" width="18.5703125" customWidth="1"/>
  </cols>
  <sheetData>
    <row r="1" spans="1:10" ht="12.75">
      <c r="A1" s="156" t="s">
        <v>0</v>
      </c>
      <c r="B1" s="157"/>
      <c r="C1" s="158"/>
      <c r="D1" s="1"/>
      <c r="E1" s="2" t="s">
        <v>1</v>
      </c>
      <c r="F1" s="2" t="s">
        <v>2</v>
      </c>
      <c r="G1" s="1"/>
      <c r="H1" s="2" t="s">
        <v>3</v>
      </c>
      <c r="I1" s="2" t="s">
        <v>4</v>
      </c>
      <c r="J1" s="3" t="s">
        <v>1</v>
      </c>
    </row>
    <row r="2" spans="1:10" ht="12.75">
      <c r="A2" s="2" t="s">
        <v>5</v>
      </c>
      <c r="B2" s="2" t="s">
        <v>6</v>
      </c>
      <c r="C2" s="2" t="s">
        <v>7</v>
      </c>
      <c r="D2" s="4" t="s">
        <v>8</v>
      </c>
      <c r="E2" s="2" t="s">
        <v>9</v>
      </c>
      <c r="F2" s="2" t="s">
        <v>10</v>
      </c>
      <c r="G2" s="1"/>
      <c r="H2" s="2" t="s">
        <v>11</v>
      </c>
      <c r="I2" s="2" t="s">
        <v>11</v>
      </c>
      <c r="J2" s="3" t="s">
        <v>12</v>
      </c>
    </row>
    <row r="3" spans="1:10" ht="15.75" customHeight="1">
      <c r="A3" s="5" t="s">
        <v>13</v>
      </c>
      <c r="B3" s="2">
        <v>4</v>
      </c>
      <c r="C3" s="2">
        <v>1800</v>
      </c>
      <c r="D3" s="4" t="s">
        <v>14</v>
      </c>
      <c r="E3" s="2" t="s">
        <v>15</v>
      </c>
      <c r="F3" s="2" t="s">
        <v>16</v>
      </c>
      <c r="G3" s="1"/>
      <c r="H3" s="150" t="s">
        <v>17</v>
      </c>
      <c r="I3" s="2" t="s">
        <v>18</v>
      </c>
      <c r="J3" s="153" t="s">
        <v>19</v>
      </c>
    </row>
    <row r="4" spans="1:10" ht="15.75" customHeight="1">
      <c r="A4" s="5" t="s">
        <v>20</v>
      </c>
      <c r="B4" s="2">
        <v>8</v>
      </c>
      <c r="C4" s="2">
        <v>3400</v>
      </c>
      <c r="D4" s="4"/>
      <c r="E4" s="2" t="s">
        <v>21</v>
      </c>
      <c r="F4" s="2" t="s">
        <v>22</v>
      </c>
      <c r="G4" s="1"/>
      <c r="H4" s="151"/>
      <c r="I4" s="2" t="s">
        <v>23</v>
      </c>
      <c r="J4" s="152"/>
    </row>
    <row r="5" spans="1:10" ht="15.75" customHeight="1">
      <c r="A5" s="5" t="s">
        <v>24</v>
      </c>
      <c r="B5" s="2">
        <v>12</v>
      </c>
      <c r="C5" s="2">
        <v>4800</v>
      </c>
      <c r="D5" s="4"/>
      <c r="E5" s="2" t="s">
        <v>25</v>
      </c>
      <c r="F5" s="2" t="s">
        <v>26</v>
      </c>
      <c r="G5" s="1"/>
      <c r="H5" s="152"/>
      <c r="I5" s="2" t="s">
        <v>27</v>
      </c>
      <c r="J5" s="153" t="s">
        <v>28</v>
      </c>
    </row>
    <row r="6" spans="1:10" ht="12.75">
      <c r="A6" s="6"/>
      <c r="B6" s="7"/>
      <c r="C6" s="7"/>
      <c r="D6" s="4"/>
      <c r="E6" s="2" t="s">
        <v>29</v>
      </c>
      <c r="F6" s="7"/>
      <c r="G6" s="1"/>
      <c r="H6" s="150" t="s">
        <v>30</v>
      </c>
      <c r="I6" s="2" t="s">
        <v>31</v>
      </c>
      <c r="J6" s="152"/>
    </row>
    <row r="7" spans="1:10" ht="15.75" customHeight="1">
      <c r="A7" s="5" t="s">
        <v>32</v>
      </c>
      <c r="B7" s="2">
        <v>4</v>
      </c>
      <c r="C7" s="2">
        <v>800</v>
      </c>
      <c r="D7" s="4"/>
      <c r="E7" s="2" t="s">
        <v>19</v>
      </c>
      <c r="F7" s="7"/>
      <c r="G7" s="1"/>
      <c r="H7" s="151"/>
      <c r="I7" s="2" t="s">
        <v>33</v>
      </c>
      <c r="J7" s="153" t="s">
        <v>15</v>
      </c>
    </row>
    <row r="8" spans="1:10" ht="15.75" customHeight="1">
      <c r="A8" s="5" t="s">
        <v>34</v>
      </c>
      <c r="B8" s="2">
        <v>8</v>
      </c>
      <c r="C8" s="2">
        <v>1400</v>
      </c>
      <c r="D8" s="4"/>
      <c r="E8" s="2"/>
      <c r="F8" s="7"/>
      <c r="G8" s="1"/>
      <c r="H8" s="151"/>
      <c r="I8" s="2" t="s">
        <v>35</v>
      </c>
      <c r="J8" s="152"/>
    </row>
    <row r="9" spans="1:10" ht="15.75" customHeight="1">
      <c r="A9" s="5" t="s">
        <v>36</v>
      </c>
      <c r="B9" s="2">
        <v>12</v>
      </c>
      <c r="C9" s="2">
        <v>2000</v>
      </c>
      <c r="D9" s="4"/>
      <c r="E9" s="2"/>
      <c r="F9" s="7"/>
      <c r="G9" s="1"/>
      <c r="H9" s="150" t="s">
        <v>37</v>
      </c>
      <c r="I9" s="2" t="s">
        <v>38</v>
      </c>
      <c r="J9" s="3" t="s">
        <v>39</v>
      </c>
    </row>
    <row r="10" spans="1:10" ht="12.75">
      <c r="A10" s="6"/>
      <c r="B10" s="7"/>
      <c r="C10" s="7"/>
      <c r="D10" s="4"/>
      <c r="E10" s="1"/>
      <c r="F10" s="1"/>
      <c r="G10" s="1"/>
      <c r="H10" s="151"/>
      <c r="I10" s="2" t="s">
        <v>40</v>
      </c>
      <c r="J10" s="153" t="s">
        <v>21</v>
      </c>
    </row>
    <row r="11" spans="1:10" ht="15.75" customHeight="1">
      <c r="A11" s="5" t="s">
        <v>41</v>
      </c>
      <c r="B11" s="2">
        <v>1</v>
      </c>
      <c r="C11" s="8">
        <v>700</v>
      </c>
      <c r="D11" s="4"/>
      <c r="E11" s="1"/>
      <c r="F11" s="1"/>
      <c r="G11" s="1"/>
      <c r="H11" s="152"/>
      <c r="I11" s="2" t="s">
        <v>42</v>
      </c>
      <c r="J11" s="152"/>
    </row>
    <row r="12" spans="1:10" ht="15.75" customHeight="1">
      <c r="A12" s="5" t="s">
        <v>43</v>
      </c>
      <c r="B12" s="2">
        <v>1</v>
      </c>
      <c r="C12" s="8">
        <v>500</v>
      </c>
      <c r="D12" s="4"/>
      <c r="E12" s="1"/>
      <c r="F12" s="1"/>
      <c r="G12" s="1"/>
      <c r="H12" s="2"/>
      <c r="I12" s="2"/>
      <c r="J12" s="3"/>
    </row>
    <row r="13" spans="1:10" ht="12.75">
      <c r="A13" s="6"/>
      <c r="B13" s="7"/>
      <c r="C13" s="7"/>
      <c r="D13" s="4"/>
      <c r="E13" s="1"/>
      <c r="F13" s="1"/>
      <c r="G13" s="1"/>
      <c r="H13" s="150" t="s">
        <v>44</v>
      </c>
      <c r="I13" s="2" t="s">
        <v>45</v>
      </c>
      <c r="J13" s="153" t="s">
        <v>46</v>
      </c>
    </row>
    <row r="14" spans="1:10" ht="15.75" customHeight="1">
      <c r="A14" s="5" t="s">
        <v>47</v>
      </c>
      <c r="B14" s="9" t="s">
        <v>402</v>
      </c>
      <c r="C14" s="8">
        <v>3600</v>
      </c>
      <c r="D14" s="4"/>
      <c r="E14" s="1"/>
      <c r="F14" s="1"/>
      <c r="G14" s="1"/>
      <c r="H14" s="151"/>
      <c r="I14" s="2" t="s">
        <v>49</v>
      </c>
      <c r="J14" s="151"/>
    </row>
    <row r="15" spans="1:10" ht="15.75" customHeight="1">
      <c r="A15" s="5" t="s">
        <v>50</v>
      </c>
      <c r="B15" s="9" t="s">
        <v>48</v>
      </c>
      <c r="C15" s="8">
        <v>4200</v>
      </c>
      <c r="D15" s="4"/>
      <c r="E15" s="1"/>
      <c r="F15" s="1"/>
      <c r="G15" s="1"/>
      <c r="H15" s="151"/>
      <c r="I15" s="2" t="s">
        <v>51</v>
      </c>
      <c r="J15" s="151"/>
    </row>
    <row r="16" spans="1:10" ht="15.75" customHeight="1">
      <c r="A16" s="5" t="s">
        <v>52</v>
      </c>
      <c r="B16" s="9" t="s">
        <v>53</v>
      </c>
      <c r="C16" s="8">
        <v>6200</v>
      </c>
      <c r="D16" s="4"/>
      <c r="E16" s="1"/>
      <c r="G16" s="1"/>
      <c r="H16" s="151"/>
      <c r="I16" s="2" t="s">
        <v>54</v>
      </c>
      <c r="J16" s="151"/>
    </row>
    <row r="17" spans="1:11" ht="12.75">
      <c r="A17" s="1"/>
      <c r="B17" s="1"/>
      <c r="C17" s="1"/>
      <c r="D17" s="1"/>
      <c r="E17" s="1"/>
      <c r="G17" s="1"/>
      <c r="H17" s="151"/>
      <c r="I17" s="2" t="s">
        <v>55</v>
      </c>
      <c r="J17" s="151"/>
    </row>
    <row r="18" spans="1:11" ht="12.75">
      <c r="A18" s="10"/>
      <c r="B18" s="1"/>
      <c r="C18" s="1"/>
      <c r="D18" s="1"/>
      <c r="E18" s="1"/>
      <c r="G18" s="1"/>
      <c r="H18" s="152"/>
      <c r="I18" s="2" t="s">
        <v>56</v>
      </c>
      <c r="J18" s="152"/>
    </row>
    <row r="19" spans="1:11" ht="12.75">
      <c r="A19" s="1"/>
      <c r="B19" s="1"/>
      <c r="C19" s="1"/>
      <c r="D19" s="1"/>
      <c r="E19" s="1"/>
      <c r="G19" s="1"/>
      <c r="H19" s="1"/>
      <c r="I19" s="1"/>
    </row>
    <row r="20" spans="1:11" ht="12.75">
      <c r="B20" s="11"/>
      <c r="C20" s="11"/>
    </row>
    <row r="21" spans="1:11" ht="12.75">
      <c r="B21" s="11"/>
      <c r="C21" s="11"/>
    </row>
    <row r="24" spans="1:11" ht="12.75">
      <c r="A24" s="12" t="s">
        <v>57</v>
      </c>
      <c r="B24" s="154" t="s">
        <v>58</v>
      </c>
      <c r="C24" s="149"/>
      <c r="D24" s="154" t="s">
        <v>59</v>
      </c>
      <c r="E24" s="149"/>
      <c r="F24" s="154" t="s">
        <v>60</v>
      </c>
      <c r="G24" s="149"/>
      <c r="H24" s="154" t="s">
        <v>61</v>
      </c>
      <c r="I24" s="154"/>
      <c r="J24" s="154" t="s">
        <v>62</v>
      </c>
      <c r="K24" s="149"/>
    </row>
    <row r="25" spans="1:11" ht="14.25">
      <c r="A25" s="13" t="s">
        <v>63</v>
      </c>
      <c r="B25" s="148" t="s">
        <v>58</v>
      </c>
      <c r="C25" s="149"/>
      <c r="D25" s="155" t="s">
        <v>17</v>
      </c>
      <c r="E25" s="149"/>
      <c r="F25" s="148" t="s">
        <v>30</v>
      </c>
      <c r="G25" s="149"/>
      <c r="H25" s="148" t="s">
        <v>37</v>
      </c>
      <c r="I25" s="148"/>
      <c r="J25" s="148" t="s">
        <v>44</v>
      </c>
      <c r="K25" s="149"/>
    </row>
    <row r="26" spans="1:11" ht="12.75">
      <c r="A26" s="1"/>
      <c r="B26" s="14" t="s">
        <v>64</v>
      </c>
      <c r="C26" s="14" t="s">
        <v>65</v>
      </c>
      <c r="D26" s="14" t="s">
        <v>66</v>
      </c>
      <c r="E26" s="14" t="s">
        <v>67</v>
      </c>
      <c r="F26" s="14" t="s">
        <v>68</v>
      </c>
      <c r="G26" s="14" t="s">
        <v>69</v>
      </c>
      <c r="H26" s="14" t="s">
        <v>70</v>
      </c>
      <c r="I26" s="14" t="s">
        <v>71</v>
      </c>
      <c r="J26" s="14" t="s">
        <v>44</v>
      </c>
      <c r="K26" s="14" t="s">
        <v>72</v>
      </c>
    </row>
    <row r="27" spans="1:11" ht="12.75">
      <c r="A27" s="1"/>
      <c r="B27" s="1"/>
      <c r="C27" s="1"/>
      <c r="D27" s="14" t="s">
        <v>73</v>
      </c>
      <c r="E27" s="14" t="s">
        <v>27</v>
      </c>
      <c r="F27" s="14" t="s">
        <v>74</v>
      </c>
      <c r="G27" s="14" t="s">
        <v>75</v>
      </c>
      <c r="H27" s="14" t="s">
        <v>76</v>
      </c>
      <c r="I27" s="14" t="s">
        <v>77</v>
      </c>
      <c r="J27" s="1"/>
      <c r="K27" s="1"/>
    </row>
    <row r="28" spans="1:11" ht="12.75">
      <c r="A28" s="13" t="s">
        <v>1</v>
      </c>
      <c r="B28" s="13" t="s">
        <v>78</v>
      </c>
      <c r="C28" s="13" t="s">
        <v>39</v>
      </c>
      <c r="D28" s="13" t="s">
        <v>19</v>
      </c>
      <c r="E28" s="13" t="s">
        <v>15</v>
      </c>
      <c r="F28" s="13" t="s">
        <v>15</v>
      </c>
      <c r="G28" s="13" t="s">
        <v>79</v>
      </c>
      <c r="H28" s="13" t="s">
        <v>80</v>
      </c>
      <c r="I28" s="13" t="s">
        <v>81</v>
      </c>
      <c r="J28" s="148" t="s">
        <v>82</v>
      </c>
      <c r="K28" s="149"/>
    </row>
  </sheetData>
  <mergeCells count="21">
    <mergeCell ref="H3:H5"/>
    <mergeCell ref="J3:J4"/>
    <mergeCell ref="J5:J6"/>
    <mergeCell ref="H6:H8"/>
    <mergeCell ref="J7:J8"/>
    <mergeCell ref="B24:C24"/>
    <mergeCell ref="B25:C25"/>
    <mergeCell ref="D25:E25"/>
    <mergeCell ref="F25:G25"/>
    <mergeCell ref="A1:C1"/>
    <mergeCell ref="J28:K28"/>
    <mergeCell ref="H9:H11"/>
    <mergeCell ref="H13:H18"/>
    <mergeCell ref="J13:J18"/>
    <mergeCell ref="D24:E24"/>
    <mergeCell ref="F24:G24"/>
    <mergeCell ref="H24:I24"/>
    <mergeCell ref="J24:K24"/>
    <mergeCell ref="J10:J11"/>
    <mergeCell ref="J25:K25"/>
    <mergeCell ref="H25:I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122"/>
  <sheetViews>
    <sheetView topLeftCell="A305" workbookViewId="0">
      <selection activeCell="B309" sqref="B309:B315"/>
    </sheetView>
  </sheetViews>
  <sheetFormatPr defaultColWidth="12.5703125" defaultRowHeight="15.75" customHeight="1"/>
  <cols>
    <col min="1" max="1" width="13.140625" customWidth="1"/>
    <col min="2" max="2" width="26.42578125" customWidth="1"/>
    <col min="3" max="3" width="13.140625" customWidth="1"/>
    <col min="4" max="4" width="14.5703125" customWidth="1"/>
    <col min="5" max="5" width="15.140625" customWidth="1"/>
    <col min="6" max="6" width="19.140625" customWidth="1"/>
  </cols>
  <sheetData>
    <row r="1" spans="1:22" ht="15.75" customHeight="1">
      <c r="A1" s="159" t="s">
        <v>83</v>
      </c>
      <c r="B1" s="159" t="s">
        <v>84</v>
      </c>
      <c r="C1" s="160"/>
      <c r="D1" s="157"/>
      <c r="E1" s="158"/>
      <c r="F1" s="159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>
      <c r="A2" s="152"/>
      <c r="B2" s="152"/>
      <c r="C2" s="15" t="s">
        <v>0</v>
      </c>
      <c r="D2" s="16" t="s">
        <v>85</v>
      </c>
      <c r="E2" s="16" t="s">
        <v>1</v>
      </c>
      <c r="F2" s="15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>
      <c r="A3" s="17" t="s">
        <v>86</v>
      </c>
      <c r="B3" s="18" t="s">
        <v>87</v>
      </c>
      <c r="C3" s="19"/>
      <c r="D3" s="20">
        <v>0</v>
      </c>
      <c r="E3" s="20" t="s">
        <v>9</v>
      </c>
      <c r="F3" s="20" t="s">
        <v>56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>
      <c r="A4" s="17" t="s">
        <v>88</v>
      </c>
      <c r="B4" s="18" t="s">
        <v>89</v>
      </c>
      <c r="C4" s="19"/>
      <c r="D4" s="20">
        <v>0</v>
      </c>
      <c r="E4" s="20" t="s">
        <v>9</v>
      </c>
      <c r="F4" s="2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customHeight="1">
      <c r="A5" s="17" t="s">
        <v>90</v>
      </c>
      <c r="B5" s="18" t="s">
        <v>91</v>
      </c>
      <c r="C5" s="19"/>
      <c r="D5" s="20">
        <v>0</v>
      </c>
      <c r="E5" s="20" t="s">
        <v>9</v>
      </c>
      <c r="F5" s="2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customHeight="1">
      <c r="A6" s="17" t="s">
        <v>92</v>
      </c>
      <c r="B6" s="18" t="s">
        <v>93</v>
      </c>
      <c r="C6" s="19"/>
      <c r="D6" s="20">
        <v>0</v>
      </c>
      <c r="E6" s="20" t="s">
        <v>9</v>
      </c>
      <c r="F6" s="2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customHeight="1">
      <c r="A7" s="17" t="s">
        <v>94</v>
      </c>
      <c r="B7" s="18" t="s">
        <v>95</v>
      </c>
      <c r="C7" s="19"/>
      <c r="D7" s="20">
        <v>0</v>
      </c>
      <c r="E7" s="20" t="s">
        <v>9</v>
      </c>
      <c r="F7" s="2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customHeight="1">
      <c r="A8" s="17" t="s">
        <v>96</v>
      </c>
      <c r="B8" s="18" t="s">
        <v>97</v>
      </c>
      <c r="C8" s="19"/>
      <c r="D8" s="20">
        <v>0</v>
      </c>
      <c r="E8" s="20" t="s">
        <v>9</v>
      </c>
      <c r="F8" s="2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customHeight="1">
      <c r="A9" s="17" t="s">
        <v>98</v>
      </c>
      <c r="B9" s="18" t="s">
        <v>99</v>
      </c>
      <c r="C9" s="19"/>
      <c r="D9" s="20">
        <v>0</v>
      </c>
      <c r="E9" s="20" t="s">
        <v>9</v>
      </c>
      <c r="F9" s="2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customHeight="1">
      <c r="A10" s="17" t="s">
        <v>100</v>
      </c>
      <c r="B10" s="18" t="s">
        <v>101</v>
      </c>
      <c r="C10" s="19"/>
      <c r="D10" s="20">
        <v>0</v>
      </c>
      <c r="E10" s="20" t="s">
        <v>9</v>
      </c>
      <c r="F10" s="2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customHeight="1">
      <c r="A11" s="17" t="s">
        <v>102</v>
      </c>
      <c r="B11" s="18" t="s">
        <v>103</v>
      </c>
      <c r="C11" s="19"/>
      <c r="D11" s="20">
        <v>0</v>
      </c>
      <c r="E11" s="20" t="s">
        <v>9</v>
      </c>
      <c r="F11" s="2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customHeight="1">
      <c r="A12" s="17" t="s">
        <v>104</v>
      </c>
      <c r="B12" s="18" t="s">
        <v>119</v>
      </c>
      <c r="C12" s="19"/>
      <c r="D12" s="20">
        <v>0</v>
      </c>
      <c r="E12" s="20" t="s">
        <v>9</v>
      </c>
      <c r="F12" s="2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customHeight="1">
      <c r="A13" s="17" t="s">
        <v>105</v>
      </c>
      <c r="B13" s="18" t="s">
        <v>106</v>
      </c>
      <c r="C13" s="19"/>
      <c r="D13" s="20">
        <v>0</v>
      </c>
      <c r="E13" s="20" t="s">
        <v>9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customHeight="1">
      <c r="A14" s="17" t="s">
        <v>107</v>
      </c>
      <c r="B14" s="18" t="s">
        <v>109</v>
      </c>
      <c r="C14" s="19"/>
      <c r="D14" s="20">
        <v>0</v>
      </c>
      <c r="E14" s="20" t="s">
        <v>9</v>
      </c>
      <c r="F14" s="2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customHeight="1">
      <c r="A15" s="17" t="s">
        <v>108</v>
      </c>
      <c r="B15" s="18" t="s">
        <v>111</v>
      </c>
      <c r="C15" s="19"/>
      <c r="D15" s="20">
        <v>0</v>
      </c>
      <c r="E15" s="20" t="s">
        <v>9</v>
      </c>
      <c r="F15" s="2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customHeight="1">
      <c r="A16" s="17" t="s">
        <v>110</v>
      </c>
      <c r="B16" s="18" t="s">
        <v>113</v>
      </c>
      <c r="C16" s="19"/>
      <c r="D16" s="20">
        <v>0</v>
      </c>
      <c r="E16" s="20" t="s">
        <v>9</v>
      </c>
      <c r="F16" s="2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>
      <c r="A17" s="17" t="s">
        <v>112</v>
      </c>
      <c r="B17" s="18" t="s">
        <v>117</v>
      </c>
      <c r="C17" s="19"/>
      <c r="D17" s="20">
        <v>0</v>
      </c>
      <c r="E17" s="20" t="s">
        <v>9</v>
      </c>
      <c r="F17" s="2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>
      <c r="A18" s="17" t="s">
        <v>114</v>
      </c>
      <c r="B18" s="18" t="s">
        <v>121</v>
      </c>
      <c r="C18" s="19"/>
      <c r="D18" s="20">
        <v>0</v>
      </c>
      <c r="E18" s="20" t="s">
        <v>9</v>
      </c>
      <c r="F18" s="2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>
      <c r="A19" s="17" t="s">
        <v>116</v>
      </c>
      <c r="B19" s="18" t="s">
        <v>124</v>
      </c>
      <c r="C19" s="19"/>
      <c r="D19" s="20">
        <v>0</v>
      </c>
      <c r="E19" s="20" t="s">
        <v>9</v>
      </c>
      <c r="F19" s="2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>
      <c r="A20" s="17" t="s">
        <v>118</v>
      </c>
      <c r="B20" s="18" t="s">
        <v>127</v>
      </c>
      <c r="C20" s="19"/>
      <c r="D20" s="20">
        <v>0</v>
      </c>
      <c r="E20" s="20" t="s">
        <v>9</v>
      </c>
      <c r="F20" s="2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>
      <c r="A21" s="17" t="s">
        <v>120</v>
      </c>
      <c r="B21" s="18" t="s">
        <v>131</v>
      </c>
      <c r="C21" s="19"/>
      <c r="D21" s="20">
        <v>0</v>
      </c>
      <c r="E21" s="20" t="s">
        <v>9</v>
      </c>
      <c r="F21" s="2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>
      <c r="A22" s="17" t="s">
        <v>122</v>
      </c>
      <c r="B22" s="18" t="s">
        <v>133</v>
      </c>
      <c r="C22" s="19"/>
      <c r="D22" s="20">
        <v>0</v>
      </c>
      <c r="E22" s="20" t="s">
        <v>9</v>
      </c>
      <c r="F22" s="2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>
      <c r="A23" s="17" t="s">
        <v>123</v>
      </c>
      <c r="B23" s="18" t="s">
        <v>135</v>
      </c>
      <c r="C23" s="19"/>
      <c r="D23" s="20">
        <v>0</v>
      </c>
      <c r="E23" s="20" t="s">
        <v>9</v>
      </c>
      <c r="F23" s="2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">
      <c r="A24" s="17" t="s">
        <v>125</v>
      </c>
      <c r="B24" s="18" t="s">
        <v>137</v>
      </c>
      <c r="C24" s="19"/>
      <c r="D24" s="20">
        <v>0</v>
      </c>
      <c r="E24" s="20" t="s">
        <v>9</v>
      </c>
      <c r="F24" s="2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">
      <c r="A25" s="17" t="s">
        <v>126</v>
      </c>
      <c r="B25" s="18" t="s">
        <v>141</v>
      </c>
      <c r="C25" s="19"/>
      <c r="D25" s="20">
        <v>0</v>
      </c>
      <c r="E25" s="20" t="s">
        <v>9</v>
      </c>
      <c r="F25" s="2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">
      <c r="A26" s="17" t="s">
        <v>128</v>
      </c>
      <c r="B26" s="18" t="s">
        <v>143</v>
      </c>
      <c r="C26" s="19"/>
      <c r="D26" s="20">
        <v>0</v>
      </c>
      <c r="E26" s="20" t="s">
        <v>25</v>
      </c>
      <c r="F26" s="2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">
      <c r="A27" s="17" t="s">
        <v>129</v>
      </c>
      <c r="B27" s="18" t="s">
        <v>145</v>
      </c>
      <c r="C27" s="19"/>
      <c r="D27" s="20">
        <v>0</v>
      </c>
      <c r="E27" s="20" t="s">
        <v>25</v>
      </c>
      <c r="F27" s="2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">
      <c r="A28" s="17" t="s">
        <v>130</v>
      </c>
      <c r="B28" s="18" t="s">
        <v>147</v>
      </c>
      <c r="C28" s="19"/>
      <c r="D28" s="20">
        <v>0</v>
      </c>
      <c r="E28" s="20" t="s">
        <v>9</v>
      </c>
      <c r="F28" s="2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">
      <c r="A29" s="17" t="s">
        <v>132</v>
      </c>
      <c r="B29" s="18" t="s">
        <v>149</v>
      </c>
      <c r="C29" s="19"/>
      <c r="D29" s="20">
        <v>0</v>
      </c>
      <c r="E29" s="20" t="s">
        <v>9</v>
      </c>
      <c r="F29" s="2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">
      <c r="A30" s="17" t="s">
        <v>134</v>
      </c>
      <c r="B30" s="18" t="s">
        <v>152</v>
      </c>
      <c r="C30" s="19"/>
      <c r="D30" s="20">
        <v>0</v>
      </c>
      <c r="E30" s="20" t="s">
        <v>9</v>
      </c>
      <c r="F30" s="2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">
      <c r="A31" s="17" t="s">
        <v>136</v>
      </c>
      <c r="B31" s="18" t="s">
        <v>155</v>
      </c>
      <c r="C31" s="19"/>
      <c r="D31" s="20">
        <v>0</v>
      </c>
      <c r="E31" s="20" t="s">
        <v>9</v>
      </c>
      <c r="F31" s="2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">
      <c r="A32" s="17" t="s">
        <v>138</v>
      </c>
      <c r="B32" s="18" t="s">
        <v>157</v>
      </c>
      <c r="C32" s="19"/>
      <c r="D32" s="20">
        <v>0</v>
      </c>
      <c r="E32" s="20" t="s">
        <v>9</v>
      </c>
      <c r="F32" s="2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">
      <c r="A33" s="17" t="s">
        <v>139</v>
      </c>
      <c r="B33" s="18" t="s">
        <v>159</v>
      </c>
      <c r="C33" s="19"/>
      <c r="D33" s="20"/>
      <c r="E33" s="20" t="s">
        <v>15</v>
      </c>
      <c r="F33" s="2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">
      <c r="A34" s="17" t="s">
        <v>140</v>
      </c>
      <c r="B34" s="18" t="s">
        <v>160</v>
      </c>
      <c r="C34" s="19"/>
      <c r="D34" s="20"/>
      <c r="E34" s="20" t="s">
        <v>29</v>
      </c>
      <c r="F34" s="2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">
      <c r="A35" s="17" t="s">
        <v>142</v>
      </c>
      <c r="B35" s="18" t="s">
        <v>161</v>
      </c>
      <c r="C35" s="19"/>
      <c r="D35" s="20"/>
      <c r="E35" s="20" t="s">
        <v>29</v>
      </c>
      <c r="F35" s="2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">
      <c r="A36" s="17" t="s">
        <v>144</v>
      </c>
      <c r="B36" s="18" t="s">
        <v>163</v>
      </c>
      <c r="C36" s="19"/>
      <c r="D36" s="20">
        <v>0</v>
      </c>
      <c r="E36" s="20" t="s">
        <v>9</v>
      </c>
      <c r="F36" s="2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">
      <c r="A37" s="17" t="s">
        <v>146</v>
      </c>
      <c r="B37" s="18" t="s">
        <v>165</v>
      </c>
      <c r="C37" s="19"/>
      <c r="D37" s="20">
        <v>0</v>
      </c>
      <c r="E37" s="20" t="s">
        <v>19</v>
      </c>
      <c r="F37" s="2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">
      <c r="A38" s="17" t="s">
        <v>148</v>
      </c>
      <c r="B38" s="18" t="s">
        <v>167</v>
      </c>
      <c r="C38" s="19"/>
      <c r="D38" s="20">
        <v>0</v>
      </c>
      <c r="E38" s="20" t="s">
        <v>9</v>
      </c>
      <c r="F38" s="2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">
      <c r="A39" s="17" t="s">
        <v>150</v>
      </c>
      <c r="B39" s="18" t="s">
        <v>169</v>
      </c>
      <c r="C39" s="19"/>
      <c r="D39" s="20">
        <v>0</v>
      </c>
      <c r="E39" s="20" t="s">
        <v>9</v>
      </c>
      <c r="F39" s="2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">
      <c r="A40" s="17" t="s">
        <v>151</v>
      </c>
      <c r="B40" s="18" t="s">
        <v>115</v>
      </c>
      <c r="C40" s="19"/>
      <c r="D40" s="20"/>
      <c r="E40" s="20" t="s">
        <v>19</v>
      </c>
      <c r="F40" s="2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">
      <c r="A41" s="17" t="s">
        <v>153</v>
      </c>
      <c r="B41" s="18" t="s">
        <v>172</v>
      </c>
      <c r="C41" s="19"/>
      <c r="D41" s="20">
        <v>0</v>
      </c>
      <c r="E41" s="20" t="s">
        <v>9</v>
      </c>
      <c r="F41" s="2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">
      <c r="A42" s="17" t="s">
        <v>401</v>
      </c>
      <c r="B42" s="18" t="s">
        <v>174</v>
      </c>
      <c r="C42" s="19"/>
      <c r="D42" s="20">
        <v>0</v>
      </c>
      <c r="E42" s="20" t="s">
        <v>9</v>
      </c>
      <c r="F42" s="2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">
      <c r="A43" s="17" t="s">
        <v>154</v>
      </c>
      <c r="B43" s="18" t="s">
        <v>176</v>
      </c>
      <c r="C43" s="19"/>
      <c r="D43" s="20">
        <v>0</v>
      </c>
      <c r="E43" s="20" t="s">
        <v>9</v>
      </c>
      <c r="F43" s="2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">
      <c r="A44" s="17" t="s">
        <v>156</v>
      </c>
      <c r="B44" s="18" t="s">
        <v>178</v>
      </c>
      <c r="C44" s="19"/>
      <c r="D44" s="20">
        <v>0</v>
      </c>
      <c r="E44" s="20" t="s">
        <v>9</v>
      </c>
      <c r="F44" s="2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">
      <c r="A45" s="17" t="s">
        <v>158</v>
      </c>
      <c r="B45" s="18" t="s">
        <v>184</v>
      </c>
      <c r="C45" s="19"/>
      <c r="D45" s="20">
        <v>0</v>
      </c>
      <c r="E45" s="20" t="s">
        <v>15</v>
      </c>
      <c r="F45" s="2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">
      <c r="A46" s="17" t="s">
        <v>162</v>
      </c>
      <c r="B46" s="18" t="s">
        <v>189</v>
      </c>
      <c r="C46" s="19"/>
      <c r="D46" s="20">
        <v>0</v>
      </c>
      <c r="E46" s="20" t="s">
        <v>9</v>
      </c>
      <c r="F46" s="2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">
      <c r="A47" s="17" t="s">
        <v>164</v>
      </c>
      <c r="B47" s="18" t="s">
        <v>192</v>
      </c>
      <c r="C47" s="19"/>
      <c r="D47" s="20">
        <v>0</v>
      </c>
      <c r="E47" s="20" t="s">
        <v>9</v>
      </c>
      <c r="F47" s="2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">
      <c r="A48" s="17" t="s">
        <v>166</v>
      </c>
      <c r="B48" s="18" t="s">
        <v>197</v>
      </c>
      <c r="C48" s="19"/>
      <c r="D48" s="20">
        <v>0</v>
      </c>
      <c r="E48" s="20" t="s">
        <v>9</v>
      </c>
      <c r="F48" s="2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">
      <c r="A49" s="17" t="s">
        <v>168</v>
      </c>
      <c r="B49" s="18" t="s">
        <v>200</v>
      </c>
      <c r="C49" s="19"/>
      <c r="D49" s="20">
        <v>0</v>
      </c>
      <c r="E49" s="20" t="s">
        <v>9</v>
      </c>
      <c r="F49" s="2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">
      <c r="A50" s="17" t="s">
        <v>170</v>
      </c>
      <c r="B50" s="18" t="s">
        <v>202</v>
      </c>
      <c r="C50" s="19"/>
      <c r="D50" s="20">
        <v>0</v>
      </c>
      <c r="E50" s="20" t="s">
        <v>9</v>
      </c>
      <c r="F50" s="2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>
      <c r="A51" s="17" t="s">
        <v>171</v>
      </c>
      <c r="B51" s="18" t="s">
        <v>204</v>
      </c>
      <c r="C51" s="19"/>
      <c r="D51" s="20">
        <v>0</v>
      </c>
      <c r="E51" s="20" t="s">
        <v>9</v>
      </c>
      <c r="F51" s="2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>
      <c r="A52" s="17" t="s">
        <v>173</v>
      </c>
      <c r="B52" s="18" t="s">
        <v>206</v>
      </c>
      <c r="C52" s="19"/>
      <c r="D52" s="20">
        <v>0</v>
      </c>
      <c r="E52" s="20" t="s">
        <v>15</v>
      </c>
      <c r="F52" s="2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>
      <c r="A53" s="17" t="s">
        <v>175</v>
      </c>
      <c r="B53" s="18" t="s">
        <v>208</v>
      </c>
      <c r="C53" s="19"/>
      <c r="D53" s="20">
        <v>0</v>
      </c>
      <c r="E53" s="20" t="s">
        <v>19</v>
      </c>
      <c r="F53" s="2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>
      <c r="A54" s="17" t="s">
        <v>177</v>
      </c>
      <c r="B54" s="18" t="s">
        <v>210</v>
      </c>
      <c r="C54" s="19"/>
      <c r="D54" s="20">
        <v>0</v>
      </c>
      <c r="E54" s="20" t="s">
        <v>19</v>
      </c>
      <c r="F54" s="2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>
      <c r="A55" s="17" t="s">
        <v>179</v>
      </c>
      <c r="B55" s="18" t="s">
        <v>213</v>
      </c>
      <c r="C55" s="19"/>
      <c r="D55" s="20">
        <v>0</v>
      </c>
      <c r="E55" s="20" t="s">
        <v>9</v>
      </c>
      <c r="F55" s="2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>
      <c r="A56" s="17" t="s">
        <v>180</v>
      </c>
      <c r="B56" s="18" t="s">
        <v>219</v>
      </c>
      <c r="C56" s="19"/>
      <c r="D56" s="20">
        <v>0</v>
      </c>
      <c r="E56" s="20" t="s">
        <v>9</v>
      </c>
      <c r="F56" s="2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>
      <c r="A57" s="17" t="s">
        <v>181</v>
      </c>
      <c r="B57" s="18" t="s">
        <v>223</v>
      </c>
      <c r="C57" s="19"/>
      <c r="D57" s="20">
        <v>0</v>
      </c>
      <c r="E57" s="20" t="s">
        <v>19</v>
      </c>
      <c r="F57" s="2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>
      <c r="A58" s="17" t="s">
        <v>182</v>
      </c>
      <c r="B58" s="18" t="s">
        <v>226</v>
      </c>
      <c r="C58" s="19"/>
      <c r="D58" s="20">
        <v>0</v>
      </c>
      <c r="E58" s="20" t="s">
        <v>25</v>
      </c>
      <c r="F58" s="2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>
      <c r="A59" s="17" t="s">
        <v>183</v>
      </c>
      <c r="B59" s="18" t="s">
        <v>230</v>
      </c>
      <c r="C59" s="19"/>
      <c r="D59" s="20">
        <v>0</v>
      </c>
      <c r="E59" s="20" t="s">
        <v>15</v>
      </c>
      <c r="F59" s="2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">
      <c r="A60" s="17" t="s">
        <v>185</v>
      </c>
      <c r="B60" s="18" t="s">
        <v>232</v>
      </c>
      <c r="C60" s="19"/>
      <c r="D60" s="20">
        <v>0</v>
      </c>
      <c r="E60" s="20" t="s">
        <v>25</v>
      </c>
      <c r="F60" s="2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">
      <c r="A61" s="17" t="s">
        <v>186</v>
      </c>
      <c r="B61" s="18" t="s">
        <v>234</v>
      </c>
      <c r="C61" s="19"/>
      <c r="D61" s="20">
        <v>0</v>
      </c>
      <c r="E61" s="20" t="s">
        <v>9</v>
      </c>
      <c r="F61" s="2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">
      <c r="A62" s="17" t="s">
        <v>187</v>
      </c>
      <c r="B62" s="18" t="s">
        <v>237</v>
      </c>
      <c r="C62" s="19"/>
      <c r="D62" s="20">
        <v>0</v>
      </c>
      <c r="E62" s="20" t="s">
        <v>9</v>
      </c>
      <c r="F62" s="2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">
      <c r="A63" s="17" t="s">
        <v>188</v>
      </c>
      <c r="B63" s="22" t="s">
        <v>240</v>
      </c>
      <c r="C63" s="19"/>
      <c r="D63" s="20"/>
      <c r="E63" s="20" t="s">
        <v>15</v>
      </c>
      <c r="F63" s="2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">
      <c r="A64" s="17" t="s">
        <v>190</v>
      </c>
      <c r="B64" s="18" t="s">
        <v>242</v>
      </c>
      <c r="C64" s="19"/>
      <c r="D64" s="20">
        <v>0</v>
      </c>
      <c r="E64" s="20" t="s">
        <v>25</v>
      </c>
      <c r="F64" s="2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">
      <c r="A65" s="17" t="s">
        <v>191</v>
      </c>
      <c r="B65" s="18" t="s">
        <v>246</v>
      </c>
      <c r="C65" s="19"/>
      <c r="D65" s="20">
        <v>0</v>
      </c>
      <c r="E65" s="20" t="s">
        <v>9</v>
      </c>
      <c r="F65" s="2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">
      <c r="A66" s="17" t="s">
        <v>193</v>
      </c>
      <c r="B66" s="18" t="s">
        <v>251</v>
      </c>
      <c r="C66" s="19"/>
      <c r="D66" s="20">
        <v>0</v>
      </c>
      <c r="E66" s="20" t="s">
        <v>9</v>
      </c>
      <c r="F66" s="2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">
      <c r="A67" s="17" t="s">
        <v>194</v>
      </c>
      <c r="B67" s="18" t="s">
        <v>253</v>
      </c>
      <c r="C67" s="19"/>
      <c r="D67" s="20">
        <v>0</v>
      </c>
      <c r="E67" s="20" t="s">
        <v>9</v>
      </c>
      <c r="F67" s="2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">
      <c r="A68" s="17" t="s">
        <v>195</v>
      </c>
      <c r="B68" s="18" t="s">
        <v>255</v>
      </c>
      <c r="C68" s="19"/>
      <c r="D68" s="20">
        <v>0</v>
      </c>
      <c r="E68" s="20" t="s">
        <v>15</v>
      </c>
      <c r="F68" s="2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">
      <c r="A69" s="17" t="s">
        <v>196</v>
      </c>
      <c r="B69" s="18" t="s">
        <v>257</v>
      </c>
      <c r="C69" s="19"/>
      <c r="D69" s="20">
        <v>0</v>
      </c>
      <c r="E69" s="20" t="s">
        <v>21</v>
      </c>
      <c r="F69" s="2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">
      <c r="A70" s="17" t="s">
        <v>198</v>
      </c>
      <c r="B70" s="18" t="s">
        <v>259</v>
      </c>
      <c r="C70" s="19"/>
      <c r="D70" s="20">
        <v>0</v>
      </c>
      <c r="E70" s="20" t="s">
        <v>21</v>
      </c>
      <c r="F70" s="2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">
      <c r="A71" s="17" t="s">
        <v>199</v>
      </c>
      <c r="B71" s="18" t="s">
        <v>262</v>
      </c>
      <c r="C71" s="19"/>
      <c r="D71" s="20">
        <v>0</v>
      </c>
      <c r="E71" s="20" t="s">
        <v>9</v>
      </c>
      <c r="F71" s="2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">
      <c r="A72" s="17" t="s">
        <v>201</v>
      </c>
      <c r="B72" s="18" t="s">
        <v>264</v>
      </c>
      <c r="C72" s="19"/>
      <c r="D72" s="20">
        <v>0</v>
      </c>
      <c r="E72" s="20" t="s">
        <v>21</v>
      </c>
      <c r="F72" s="2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">
      <c r="A73" s="17" t="s">
        <v>203</v>
      </c>
      <c r="B73" s="18" t="s">
        <v>271</v>
      </c>
      <c r="C73" s="19"/>
      <c r="D73" s="20">
        <v>0</v>
      </c>
      <c r="E73" s="20" t="s">
        <v>29</v>
      </c>
      <c r="F73" s="2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">
      <c r="A74" s="17" t="s">
        <v>205</v>
      </c>
      <c r="B74" s="18" t="s">
        <v>277</v>
      </c>
      <c r="C74" s="19"/>
      <c r="D74" s="20">
        <v>0</v>
      </c>
      <c r="E74" s="20" t="s">
        <v>9</v>
      </c>
      <c r="F74" s="2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">
      <c r="A75" s="17" t="s">
        <v>207</v>
      </c>
      <c r="B75" s="18" t="s">
        <v>290</v>
      </c>
      <c r="C75" s="19"/>
      <c r="D75" s="20">
        <v>0</v>
      </c>
      <c r="E75" s="20" t="s">
        <v>9</v>
      </c>
      <c r="F75" s="2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">
      <c r="A76" s="17" t="s">
        <v>209</v>
      </c>
      <c r="B76" s="18" t="s">
        <v>297</v>
      </c>
      <c r="C76" s="19"/>
      <c r="D76" s="20">
        <v>0</v>
      </c>
      <c r="E76" s="20" t="s">
        <v>15</v>
      </c>
      <c r="F76" s="2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">
      <c r="A77" s="17" t="s">
        <v>211</v>
      </c>
      <c r="B77" s="18" t="s">
        <v>299</v>
      </c>
      <c r="C77" s="19"/>
      <c r="D77" s="20">
        <v>0</v>
      </c>
      <c r="E77" s="20" t="s">
        <v>9</v>
      </c>
      <c r="F77" s="2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">
      <c r="A78" s="17" t="s">
        <v>212</v>
      </c>
      <c r="B78" s="18" t="s">
        <v>308</v>
      </c>
      <c r="C78" s="19"/>
      <c r="D78" s="20">
        <v>0</v>
      </c>
      <c r="E78" s="20" t="s">
        <v>15</v>
      </c>
      <c r="F78" s="2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">
      <c r="A79" s="17" t="s">
        <v>214</v>
      </c>
      <c r="B79" s="18" t="s">
        <v>312</v>
      </c>
      <c r="C79" s="19"/>
      <c r="D79" s="20">
        <v>0</v>
      </c>
      <c r="E79" s="20" t="s">
        <v>29</v>
      </c>
      <c r="F79" s="2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">
      <c r="A80" s="17" t="s">
        <v>215</v>
      </c>
      <c r="B80" s="18" t="s">
        <v>313</v>
      </c>
      <c r="C80" s="19"/>
      <c r="D80" s="20">
        <v>0</v>
      </c>
      <c r="E80" s="20" t="s">
        <v>19</v>
      </c>
      <c r="F80" s="2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">
      <c r="A81" s="17" t="s">
        <v>216</v>
      </c>
      <c r="B81" s="18" t="s">
        <v>314</v>
      </c>
      <c r="C81" s="19"/>
      <c r="D81" s="20">
        <v>0</v>
      </c>
      <c r="E81" s="20" t="s">
        <v>9</v>
      </c>
      <c r="F81" s="2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>
      <c r="A82" s="17" t="s">
        <v>217</v>
      </c>
      <c r="B82" s="18" t="s">
        <v>315</v>
      </c>
      <c r="C82" s="19"/>
      <c r="D82" s="20">
        <v>0</v>
      </c>
      <c r="E82" s="20" t="s">
        <v>9</v>
      </c>
      <c r="F82" s="2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">
      <c r="A83" s="17" t="s">
        <v>218</v>
      </c>
      <c r="B83" s="18" t="s">
        <v>361</v>
      </c>
      <c r="C83" s="19"/>
      <c r="D83" s="20"/>
      <c r="E83" s="20" t="s">
        <v>29</v>
      </c>
      <c r="F83" s="2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>
      <c r="A84" s="17" t="s">
        <v>220</v>
      </c>
      <c r="B84" s="18" t="s">
        <v>316</v>
      </c>
      <c r="C84" s="19"/>
      <c r="D84" s="20">
        <v>0</v>
      </c>
      <c r="E84" s="20" t="s">
        <v>9</v>
      </c>
      <c r="F84" s="2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>
      <c r="A85" s="17" t="s">
        <v>221</v>
      </c>
      <c r="B85" s="18" t="s">
        <v>317</v>
      </c>
      <c r="C85" s="19"/>
      <c r="D85" s="20">
        <v>0</v>
      </c>
      <c r="E85" s="20" t="s">
        <v>9</v>
      </c>
      <c r="F85" s="2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>
      <c r="A86" s="17" t="s">
        <v>222</v>
      </c>
      <c r="B86" s="18" t="s">
        <v>350</v>
      </c>
      <c r="C86" s="19"/>
      <c r="D86" s="20"/>
      <c r="E86" s="20" t="s">
        <v>21</v>
      </c>
      <c r="F86" s="2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">
      <c r="A87" s="17" t="s">
        <v>224</v>
      </c>
      <c r="B87" s="23" t="s">
        <v>318</v>
      </c>
      <c r="C87" s="19"/>
      <c r="D87" s="20">
        <v>0</v>
      </c>
      <c r="E87" s="20" t="s">
        <v>21</v>
      </c>
      <c r="F87" s="2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>
      <c r="A88" s="17" t="s">
        <v>225</v>
      </c>
      <c r="B88" s="23" t="s">
        <v>319</v>
      </c>
      <c r="C88" s="19"/>
      <c r="D88" s="20">
        <v>0</v>
      </c>
      <c r="E88" s="20" t="s">
        <v>21</v>
      </c>
      <c r="F88" s="2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">
      <c r="A89" s="17" t="s">
        <v>227</v>
      </c>
      <c r="B89" s="23" t="s">
        <v>320</v>
      </c>
      <c r="C89" s="19"/>
      <c r="D89" s="20">
        <v>0</v>
      </c>
      <c r="E89" s="20" t="s">
        <v>9</v>
      </c>
      <c r="F89" s="2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">
      <c r="A90" s="17" t="s">
        <v>228</v>
      </c>
      <c r="B90" s="23" t="s">
        <v>321</v>
      </c>
      <c r="C90" s="19"/>
      <c r="D90" s="20">
        <v>0</v>
      </c>
      <c r="E90" s="20" t="s">
        <v>9</v>
      </c>
      <c r="F90" s="2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">
      <c r="A91" s="17" t="s">
        <v>229</v>
      </c>
      <c r="B91" s="23" t="s">
        <v>322</v>
      </c>
      <c r="C91" s="19"/>
      <c r="D91" s="20">
        <v>0</v>
      </c>
      <c r="E91" s="20" t="s">
        <v>9</v>
      </c>
      <c r="F91" s="2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">
      <c r="A92" s="17" t="s">
        <v>231</v>
      </c>
      <c r="B92" s="23" t="s">
        <v>323</v>
      </c>
      <c r="C92" s="19"/>
      <c r="D92" s="20">
        <v>0</v>
      </c>
      <c r="E92" s="20" t="s">
        <v>15</v>
      </c>
      <c r="F92" s="2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">
      <c r="A93" s="17" t="s">
        <v>233</v>
      </c>
      <c r="B93" s="23" t="s">
        <v>324</v>
      </c>
      <c r="C93" s="19"/>
      <c r="D93" s="20">
        <v>0</v>
      </c>
      <c r="E93" s="20" t="s">
        <v>9</v>
      </c>
      <c r="F93" s="2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">
      <c r="A94" s="17" t="s">
        <v>235</v>
      </c>
      <c r="B94" s="23" t="s">
        <v>325</v>
      </c>
      <c r="C94" s="19"/>
      <c r="D94" s="20">
        <v>0</v>
      </c>
      <c r="E94" s="20" t="s">
        <v>29</v>
      </c>
      <c r="F94" s="2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">
      <c r="A95" s="17" t="s">
        <v>236</v>
      </c>
      <c r="B95" s="23" t="s">
        <v>326</v>
      </c>
      <c r="C95" s="19"/>
      <c r="D95" s="20">
        <v>0</v>
      </c>
      <c r="E95" s="20" t="s">
        <v>19</v>
      </c>
      <c r="F95" s="2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">
      <c r="A96" s="17" t="s">
        <v>238</v>
      </c>
      <c r="B96" s="23" t="s">
        <v>327</v>
      </c>
      <c r="C96" s="19"/>
      <c r="D96" s="20">
        <v>0</v>
      </c>
      <c r="E96" s="20" t="s">
        <v>9</v>
      </c>
      <c r="F96" s="2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">
      <c r="A97" s="17" t="s">
        <v>239</v>
      </c>
      <c r="B97" s="23" t="s">
        <v>328</v>
      </c>
      <c r="C97" s="19"/>
      <c r="D97" s="20">
        <v>0</v>
      </c>
      <c r="E97" s="20" t="s">
        <v>9</v>
      </c>
      <c r="F97" s="2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">
      <c r="A98" s="17" t="s">
        <v>241</v>
      </c>
      <c r="B98" s="23" t="s">
        <v>329</v>
      </c>
      <c r="C98" s="19"/>
      <c r="D98" s="20">
        <v>0</v>
      </c>
      <c r="E98" s="20" t="s">
        <v>9</v>
      </c>
      <c r="F98" s="2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">
      <c r="A99" s="17" t="s">
        <v>243</v>
      </c>
      <c r="B99" s="23" t="s">
        <v>330</v>
      </c>
      <c r="C99" s="19"/>
      <c r="D99" s="20">
        <v>0</v>
      </c>
      <c r="E99" s="20" t="s">
        <v>9</v>
      </c>
      <c r="F99" s="2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">
      <c r="A100" s="17" t="s">
        <v>244</v>
      </c>
      <c r="B100" s="23" t="s">
        <v>331</v>
      </c>
      <c r="C100" s="19"/>
      <c r="D100" s="20">
        <v>0</v>
      </c>
      <c r="E100" s="20" t="s">
        <v>9</v>
      </c>
      <c r="F100" s="2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">
      <c r="A101" s="17" t="s">
        <v>245</v>
      </c>
      <c r="B101" s="23" t="s">
        <v>332</v>
      </c>
      <c r="C101" s="19"/>
      <c r="D101" s="20">
        <v>0</v>
      </c>
      <c r="E101" s="20" t="s">
        <v>15</v>
      </c>
      <c r="F101" s="2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">
      <c r="A102" s="17" t="s">
        <v>247</v>
      </c>
      <c r="B102" s="23" t="s">
        <v>333</v>
      </c>
      <c r="C102" s="19"/>
      <c r="D102" s="20">
        <v>0</v>
      </c>
      <c r="E102" s="20" t="s">
        <v>9</v>
      </c>
      <c r="F102" s="2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">
      <c r="A103" s="17" t="s">
        <v>248</v>
      </c>
      <c r="B103" s="23" t="s">
        <v>334</v>
      </c>
      <c r="C103" s="19"/>
      <c r="D103" s="20"/>
      <c r="E103" s="20" t="s">
        <v>9</v>
      </c>
      <c r="F103" s="2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">
      <c r="A104" s="17" t="s">
        <v>249</v>
      </c>
      <c r="B104" s="23" t="s">
        <v>335</v>
      </c>
      <c r="C104" s="19"/>
      <c r="D104" s="20">
        <v>0</v>
      </c>
      <c r="E104" s="20" t="s">
        <v>9</v>
      </c>
      <c r="F104" s="2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">
      <c r="A105" s="17" t="s">
        <v>250</v>
      </c>
      <c r="B105" s="23" t="s">
        <v>336</v>
      </c>
      <c r="C105" s="19"/>
      <c r="D105" s="20"/>
      <c r="E105" s="20" t="s">
        <v>21</v>
      </c>
      <c r="F105" s="2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">
      <c r="A106" s="17" t="s">
        <v>252</v>
      </c>
      <c r="B106" s="23" t="s">
        <v>337</v>
      </c>
      <c r="C106" s="19"/>
      <c r="D106" s="20"/>
      <c r="E106" s="20" t="s">
        <v>19</v>
      </c>
      <c r="F106" s="2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">
      <c r="A107" s="17" t="s">
        <v>254</v>
      </c>
      <c r="B107" s="23" t="s">
        <v>338</v>
      </c>
      <c r="C107" s="19"/>
      <c r="D107" s="20"/>
      <c r="E107" s="20" t="s">
        <v>15</v>
      </c>
      <c r="F107" s="2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">
      <c r="A108" s="17" t="s">
        <v>256</v>
      </c>
      <c r="B108" s="23" t="s">
        <v>339</v>
      </c>
      <c r="C108" s="19"/>
      <c r="D108" s="20"/>
      <c r="E108" s="20" t="s">
        <v>9</v>
      </c>
      <c r="F108" s="2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">
      <c r="A109" s="17" t="s">
        <v>258</v>
      </c>
      <c r="B109" s="23" t="s">
        <v>340</v>
      </c>
      <c r="C109" s="19"/>
      <c r="D109" s="20"/>
      <c r="E109" s="20" t="s">
        <v>9</v>
      </c>
      <c r="F109" s="2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">
      <c r="A110" s="17" t="s">
        <v>260</v>
      </c>
      <c r="B110" s="23" t="s">
        <v>341</v>
      </c>
      <c r="C110" s="19"/>
      <c r="D110" s="20"/>
      <c r="E110" s="20" t="s">
        <v>19</v>
      </c>
      <c r="F110" s="2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">
      <c r="A111" s="17" t="s">
        <v>261</v>
      </c>
      <c r="B111" s="23" t="s">
        <v>342</v>
      </c>
      <c r="C111" s="19"/>
      <c r="D111" s="20"/>
      <c r="E111" s="20" t="s">
        <v>9</v>
      </c>
      <c r="F111" s="2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">
      <c r="A112" s="17" t="s">
        <v>263</v>
      </c>
      <c r="B112" s="23" t="s">
        <v>343</v>
      </c>
      <c r="C112" s="19"/>
      <c r="D112" s="20"/>
      <c r="E112" s="20" t="s">
        <v>21</v>
      </c>
      <c r="F112" s="2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">
      <c r="A113" s="17" t="s">
        <v>265</v>
      </c>
      <c r="B113" s="23" t="s">
        <v>344</v>
      </c>
      <c r="C113" s="19"/>
      <c r="D113" s="20"/>
      <c r="E113" s="20" t="s">
        <v>29</v>
      </c>
      <c r="F113" s="2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">
      <c r="A114" s="17" t="s">
        <v>266</v>
      </c>
      <c r="B114" s="23" t="s">
        <v>345</v>
      </c>
      <c r="C114" s="19"/>
      <c r="D114" s="20"/>
      <c r="E114" s="20" t="s">
        <v>29</v>
      </c>
      <c r="F114" s="2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">
      <c r="A115" s="17" t="s">
        <v>267</v>
      </c>
      <c r="B115" s="23" t="s">
        <v>346</v>
      </c>
      <c r="C115" s="19"/>
      <c r="D115" s="20"/>
      <c r="E115" s="20" t="s">
        <v>9</v>
      </c>
      <c r="F115" s="2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">
      <c r="A116" s="17" t="s">
        <v>268</v>
      </c>
      <c r="B116" s="23" t="s">
        <v>347</v>
      </c>
      <c r="C116" s="19"/>
      <c r="D116" s="20"/>
      <c r="E116" s="20" t="s">
        <v>21</v>
      </c>
      <c r="F116" s="2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">
      <c r="A117" s="17" t="s">
        <v>269</v>
      </c>
      <c r="B117" s="23" t="s">
        <v>348</v>
      </c>
      <c r="C117" s="19"/>
      <c r="D117" s="20"/>
      <c r="E117" s="20" t="s">
        <v>9</v>
      </c>
      <c r="F117" s="2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">
      <c r="A118" s="17" t="s">
        <v>270</v>
      </c>
      <c r="B118" s="23" t="s">
        <v>349</v>
      </c>
      <c r="C118" s="19"/>
      <c r="D118" s="20"/>
      <c r="E118" s="20" t="s">
        <v>9</v>
      </c>
      <c r="F118" s="2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">
      <c r="A119" s="17" t="s">
        <v>272</v>
      </c>
      <c r="B119" s="23" t="s">
        <v>351</v>
      </c>
      <c r="C119" s="19"/>
      <c r="D119" s="20"/>
      <c r="E119" s="20" t="s">
        <v>19</v>
      </c>
      <c r="F119" s="2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">
      <c r="A120" s="17" t="s">
        <v>273</v>
      </c>
      <c r="B120" s="23" t="s">
        <v>352</v>
      </c>
      <c r="C120" s="19"/>
      <c r="D120" s="20"/>
      <c r="E120" s="20" t="s">
        <v>19</v>
      </c>
      <c r="F120" s="2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">
      <c r="A121" s="17" t="s">
        <v>274</v>
      </c>
      <c r="B121" s="23" t="s">
        <v>353</v>
      </c>
      <c r="C121" s="19"/>
      <c r="D121" s="20"/>
      <c r="E121" s="20" t="s">
        <v>15</v>
      </c>
      <c r="F121" s="2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">
      <c r="A122" s="17" t="s">
        <v>275</v>
      </c>
      <c r="B122" s="23" t="s">
        <v>354</v>
      </c>
      <c r="C122" s="19"/>
      <c r="D122" s="20"/>
      <c r="E122" s="20" t="s">
        <v>15</v>
      </c>
      <c r="F122" s="2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">
      <c r="A123" s="17" t="s">
        <v>276</v>
      </c>
      <c r="B123" s="23" t="s">
        <v>355</v>
      </c>
      <c r="C123" s="19"/>
      <c r="D123" s="20"/>
      <c r="E123" s="20" t="s">
        <v>15</v>
      </c>
      <c r="F123" s="2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">
      <c r="A124" s="17" t="s">
        <v>278</v>
      </c>
      <c r="B124" s="23" t="s">
        <v>356</v>
      </c>
      <c r="C124" s="19"/>
      <c r="D124" s="20"/>
      <c r="E124" s="20" t="s">
        <v>9</v>
      </c>
      <c r="F124" s="2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">
      <c r="A125" s="17" t="s">
        <v>279</v>
      </c>
      <c r="B125" s="23" t="s">
        <v>357</v>
      </c>
      <c r="C125" s="19"/>
      <c r="D125" s="20"/>
      <c r="E125" s="20" t="s">
        <v>15</v>
      </c>
      <c r="F125" s="2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">
      <c r="A126" s="17" t="s">
        <v>280</v>
      </c>
      <c r="B126" s="23" t="s">
        <v>358</v>
      </c>
      <c r="C126" s="19"/>
      <c r="D126" s="20"/>
      <c r="E126" s="20" t="s">
        <v>15</v>
      </c>
      <c r="F126" s="2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">
      <c r="A127" s="17" t="s">
        <v>281</v>
      </c>
      <c r="B127" s="23" t="s">
        <v>359</v>
      </c>
      <c r="C127" s="19"/>
      <c r="D127" s="20"/>
      <c r="E127" s="20" t="s">
        <v>9</v>
      </c>
      <c r="F127" s="2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">
      <c r="A128" s="17" t="s">
        <v>282</v>
      </c>
      <c r="B128" s="23" t="s">
        <v>360</v>
      </c>
      <c r="C128" s="19"/>
      <c r="D128" s="20"/>
      <c r="E128" s="20" t="s">
        <v>21</v>
      </c>
      <c r="F128" s="2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">
      <c r="A129" s="17" t="s">
        <v>283</v>
      </c>
      <c r="B129" s="23" t="s">
        <v>362</v>
      </c>
      <c r="C129" s="19"/>
      <c r="D129" s="20"/>
      <c r="E129" s="20" t="s">
        <v>9</v>
      </c>
      <c r="F129" s="2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">
      <c r="A130" s="17" t="s">
        <v>284</v>
      </c>
      <c r="B130" s="23" t="s">
        <v>363</v>
      </c>
      <c r="C130" s="19"/>
      <c r="D130" s="20"/>
      <c r="E130" s="20" t="s">
        <v>9</v>
      </c>
      <c r="F130" s="2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">
      <c r="A131" s="17" t="s">
        <v>285</v>
      </c>
      <c r="B131" s="23" t="s">
        <v>364</v>
      </c>
      <c r="C131" s="19"/>
      <c r="D131" s="20"/>
      <c r="E131" s="20" t="s">
        <v>9</v>
      </c>
      <c r="F131" s="2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">
      <c r="A132" s="17" t="s">
        <v>286</v>
      </c>
      <c r="B132" s="23" t="s">
        <v>365</v>
      </c>
      <c r="C132" s="19"/>
      <c r="D132" s="20"/>
      <c r="E132" s="20" t="s">
        <v>9</v>
      </c>
      <c r="F132" s="2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">
      <c r="A133" s="17" t="s">
        <v>287</v>
      </c>
      <c r="B133" s="23" t="s">
        <v>366</v>
      </c>
      <c r="C133" s="19"/>
      <c r="D133" s="20"/>
      <c r="E133" s="20" t="s">
        <v>15</v>
      </c>
      <c r="F133" s="2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">
      <c r="A134" s="17" t="s">
        <v>288</v>
      </c>
      <c r="B134" s="23" t="s">
        <v>563</v>
      </c>
      <c r="C134" s="19"/>
      <c r="D134" s="20"/>
      <c r="E134" s="20" t="s">
        <v>15</v>
      </c>
      <c r="F134" s="2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">
      <c r="A135" s="17" t="s">
        <v>289</v>
      </c>
      <c r="B135" s="23" t="s">
        <v>367</v>
      </c>
      <c r="C135" s="19"/>
      <c r="D135" s="20"/>
      <c r="E135" s="20" t="s">
        <v>29</v>
      </c>
      <c r="F135" s="2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">
      <c r="A136" s="17" t="s">
        <v>291</v>
      </c>
      <c r="B136" s="23" t="s">
        <v>368</v>
      </c>
      <c r="C136" s="19"/>
      <c r="D136" s="20"/>
      <c r="E136" s="20" t="s">
        <v>21</v>
      </c>
      <c r="F136" s="2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">
      <c r="A137" s="17" t="s">
        <v>292</v>
      </c>
      <c r="B137" s="23" t="s">
        <v>369</v>
      </c>
      <c r="C137" s="19"/>
      <c r="D137" s="20"/>
      <c r="E137" s="20" t="s">
        <v>21</v>
      </c>
      <c r="F137" s="2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">
      <c r="A138" s="17" t="s">
        <v>293</v>
      </c>
      <c r="B138" s="23" t="s">
        <v>370</v>
      </c>
      <c r="C138" s="19"/>
      <c r="D138" s="20"/>
      <c r="E138" s="20" t="s">
        <v>15</v>
      </c>
      <c r="F138" s="2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">
      <c r="A139" s="17" t="s">
        <v>294</v>
      </c>
      <c r="B139" s="23" t="s">
        <v>371</v>
      </c>
      <c r="C139" s="19"/>
      <c r="D139" s="20"/>
      <c r="E139" s="20" t="s">
        <v>9</v>
      </c>
      <c r="F139" s="2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">
      <c r="A140" s="17" t="s">
        <v>295</v>
      </c>
      <c r="B140" s="23" t="s">
        <v>372</v>
      </c>
      <c r="C140" s="19"/>
      <c r="D140" s="20"/>
      <c r="E140" s="20" t="s">
        <v>15</v>
      </c>
      <c r="F140" s="2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">
      <c r="A141" s="17" t="s">
        <v>296</v>
      </c>
      <c r="B141" s="23" t="s">
        <v>373</v>
      </c>
      <c r="C141" s="19"/>
      <c r="D141" s="20"/>
      <c r="E141" s="20" t="s">
        <v>15</v>
      </c>
      <c r="F141" s="2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">
      <c r="A142" s="17" t="s">
        <v>298</v>
      </c>
      <c r="B142" s="23" t="s">
        <v>374</v>
      </c>
      <c r="C142" s="19"/>
      <c r="D142" s="20"/>
      <c r="E142" s="20" t="s">
        <v>9</v>
      </c>
      <c r="F142" s="2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">
      <c r="A143" s="17" t="s">
        <v>300</v>
      </c>
      <c r="B143" s="23" t="s">
        <v>391</v>
      </c>
      <c r="C143" s="19"/>
      <c r="D143" s="20"/>
      <c r="E143" s="20" t="s">
        <v>21</v>
      </c>
      <c r="F143" s="2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">
      <c r="A144" s="17" t="s">
        <v>301</v>
      </c>
      <c r="B144" s="23" t="s">
        <v>392</v>
      </c>
      <c r="C144" s="19"/>
      <c r="D144" s="20"/>
      <c r="E144" s="20" t="s">
        <v>21</v>
      </c>
      <c r="F144" s="2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">
      <c r="A145" s="17" t="s">
        <v>302</v>
      </c>
      <c r="B145" s="23" t="s">
        <v>393</v>
      </c>
      <c r="C145" s="19"/>
      <c r="D145" s="20"/>
      <c r="E145" s="20" t="s">
        <v>21</v>
      </c>
      <c r="F145" s="2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">
      <c r="A146" s="17" t="s">
        <v>303</v>
      </c>
      <c r="B146" s="23" t="s">
        <v>394</v>
      </c>
      <c r="C146" s="19"/>
      <c r="D146" s="20"/>
      <c r="E146" s="20" t="s">
        <v>21</v>
      </c>
      <c r="F146" s="2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">
      <c r="A147" s="17" t="s">
        <v>304</v>
      </c>
      <c r="B147" s="23" t="s">
        <v>395</v>
      </c>
      <c r="C147" s="19"/>
      <c r="D147" s="20"/>
      <c r="E147" s="20" t="s">
        <v>15</v>
      </c>
      <c r="F147" s="2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">
      <c r="A148" s="17" t="s">
        <v>305</v>
      </c>
      <c r="B148" s="23" t="s">
        <v>375</v>
      </c>
      <c r="C148" s="19"/>
      <c r="D148" s="20"/>
      <c r="E148" s="20" t="s">
        <v>21</v>
      </c>
      <c r="F148" s="2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">
      <c r="A149" s="17" t="s">
        <v>306</v>
      </c>
      <c r="B149" s="23" t="s">
        <v>399</v>
      </c>
      <c r="C149" s="19"/>
      <c r="D149" s="20"/>
      <c r="E149" s="20" t="s">
        <v>9</v>
      </c>
      <c r="F149" s="2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">
      <c r="A150" s="17" t="s">
        <v>307</v>
      </c>
      <c r="B150" s="23" t="s">
        <v>398</v>
      </c>
      <c r="C150" s="19"/>
      <c r="D150" s="20"/>
      <c r="E150" s="20" t="s">
        <v>9</v>
      </c>
      <c r="F150" s="2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">
      <c r="A151" s="17" t="s">
        <v>309</v>
      </c>
      <c r="B151" s="23" t="s">
        <v>396</v>
      </c>
      <c r="C151" s="19"/>
      <c r="D151" s="20"/>
      <c r="E151" s="20" t="s">
        <v>9</v>
      </c>
      <c r="F151" s="2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">
      <c r="A152" s="17" t="s">
        <v>310</v>
      </c>
      <c r="B152" s="23" t="s">
        <v>397</v>
      </c>
      <c r="C152" s="19"/>
      <c r="D152" s="20"/>
      <c r="E152" s="20" t="s">
        <v>9</v>
      </c>
      <c r="F152" s="2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">
      <c r="A153" s="17" t="s">
        <v>311</v>
      </c>
      <c r="B153" s="23" t="s">
        <v>484</v>
      </c>
      <c r="C153" s="19"/>
      <c r="D153" s="20"/>
      <c r="E153" s="20" t="s">
        <v>9</v>
      </c>
      <c r="F153" s="2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">
      <c r="A154" s="17" t="s">
        <v>403</v>
      </c>
      <c r="B154" s="23" t="s">
        <v>400</v>
      </c>
      <c r="C154" s="19"/>
      <c r="D154" s="20"/>
      <c r="E154" s="20" t="s">
        <v>9</v>
      </c>
      <c r="F154" s="2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">
      <c r="A155" s="17" t="s">
        <v>405</v>
      </c>
      <c r="B155" s="23" t="s">
        <v>545</v>
      </c>
      <c r="C155" s="19"/>
      <c r="D155" s="20"/>
      <c r="E155" s="20" t="s">
        <v>9</v>
      </c>
      <c r="F155" s="2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">
      <c r="A156" s="17" t="s">
        <v>408</v>
      </c>
      <c r="B156" s="23" t="s">
        <v>404</v>
      </c>
      <c r="C156" s="19"/>
      <c r="D156" s="20"/>
      <c r="E156" s="20" t="s">
        <v>21</v>
      </c>
      <c r="F156" s="2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">
      <c r="A157" s="17" t="s">
        <v>409</v>
      </c>
      <c r="B157" s="98" t="s">
        <v>406</v>
      </c>
      <c r="C157" s="19"/>
      <c r="D157" s="20"/>
      <c r="E157" s="20" t="s">
        <v>9</v>
      </c>
      <c r="F157" s="2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">
      <c r="A158" s="17" t="s">
        <v>411</v>
      </c>
      <c r="B158" s="98" t="s">
        <v>426</v>
      </c>
      <c r="C158" s="19"/>
      <c r="D158" s="20"/>
      <c r="E158" s="20" t="s">
        <v>9</v>
      </c>
      <c r="F158" s="2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">
      <c r="A159" s="17" t="s">
        <v>412</v>
      </c>
      <c r="B159" s="98" t="s">
        <v>407</v>
      </c>
      <c r="C159" s="19"/>
      <c r="D159" s="20"/>
      <c r="E159" s="20" t="s">
        <v>9</v>
      </c>
      <c r="F159" s="2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">
      <c r="A160" s="17" t="s">
        <v>413</v>
      </c>
      <c r="B160" s="98" t="s">
        <v>410</v>
      </c>
      <c r="C160" s="19"/>
      <c r="D160" s="20"/>
      <c r="E160" s="20" t="s">
        <v>9</v>
      </c>
      <c r="F160" s="2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">
      <c r="A161" s="17" t="s">
        <v>414</v>
      </c>
      <c r="B161" s="98" t="s">
        <v>416</v>
      </c>
      <c r="C161" s="19"/>
      <c r="D161" s="20"/>
      <c r="E161" s="20" t="s">
        <v>9</v>
      </c>
      <c r="F161" s="2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">
      <c r="A162" s="17" t="s">
        <v>415</v>
      </c>
      <c r="B162" s="98" t="s">
        <v>417</v>
      </c>
      <c r="C162" s="19"/>
      <c r="D162" s="20"/>
      <c r="E162" s="20" t="s">
        <v>9</v>
      </c>
      <c r="F162" s="2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">
      <c r="A163" s="17" t="s">
        <v>420</v>
      </c>
      <c r="B163" s="98" t="s">
        <v>418</v>
      </c>
      <c r="C163" s="19"/>
      <c r="D163" s="20"/>
      <c r="E163" s="20" t="s">
        <v>9</v>
      </c>
      <c r="F163" s="2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">
      <c r="A164" s="17" t="s">
        <v>422</v>
      </c>
      <c r="B164" s="98" t="s">
        <v>419</v>
      </c>
      <c r="C164" s="19"/>
      <c r="D164" s="20"/>
      <c r="E164" s="20" t="s">
        <v>9</v>
      </c>
      <c r="F164" s="2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">
      <c r="A165" s="17" t="s">
        <v>424</v>
      </c>
      <c r="B165" s="98" t="s">
        <v>421</v>
      </c>
      <c r="C165" s="19"/>
      <c r="D165" s="20"/>
      <c r="E165" s="20" t="s">
        <v>9</v>
      </c>
      <c r="F165" s="2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">
      <c r="A166" s="17" t="s">
        <v>427</v>
      </c>
      <c r="B166" s="98" t="s">
        <v>423</v>
      </c>
      <c r="C166" s="19"/>
      <c r="D166" s="20"/>
      <c r="E166" s="20" t="s">
        <v>9</v>
      </c>
      <c r="F166" s="2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">
      <c r="A167" s="17" t="s">
        <v>429</v>
      </c>
      <c r="B167" s="98" t="s">
        <v>425</v>
      </c>
      <c r="C167" s="19"/>
      <c r="D167" s="20"/>
      <c r="E167" s="20" t="s">
        <v>9</v>
      </c>
      <c r="F167" s="2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">
      <c r="A168" s="17" t="s">
        <v>430</v>
      </c>
      <c r="B168" s="98" t="s">
        <v>428</v>
      </c>
      <c r="C168" s="19"/>
      <c r="D168" s="20"/>
      <c r="E168" s="20" t="s">
        <v>25</v>
      </c>
      <c r="F168" s="2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">
      <c r="A169" s="17" t="s">
        <v>431</v>
      </c>
      <c r="B169" s="98" t="s">
        <v>433</v>
      </c>
      <c r="C169" s="19"/>
      <c r="D169" s="20"/>
      <c r="E169" s="20" t="s">
        <v>25</v>
      </c>
      <c r="F169" s="2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">
      <c r="A170" s="17" t="s">
        <v>432</v>
      </c>
      <c r="B170" s="98" t="s">
        <v>434</v>
      </c>
      <c r="C170" s="19"/>
      <c r="D170" s="20"/>
      <c r="E170" s="20" t="s">
        <v>9</v>
      </c>
      <c r="F170" s="2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">
      <c r="A171" s="17" t="s">
        <v>437</v>
      </c>
      <c r="B171" s="98" t="s">
        <v>538</v>
      </c>
      <c r="C171" s="19"/>
      <c r="D171" s="20"/>
      <c r="E171" s="20" t="s">
        <v>21</v>
      </c>
      <c r="F171" s="2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">
      <c r="A172" s="17" t="s">
        <v>438</v>
      </c>
      <c r="B172" s="98" t="s">
        <v>435</v>
      </c>
      <c r="C172" s="19"/>
      <c r="D172" s="20"/>
      <c r="E172" s="20" t="s">
        <v>9</v>
      </c>
      <c r="F172" s="2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">
      <c r="A173" s="17" t="s">
        <v>439</v>
      </c>
      <c r="B173" s="98" t="s">
        <v>436</v>
      </c>
      <c r="C173" s="19"/>
      <c r="D173" s="20"/>
      <c r="E173" s="20" t="s">
        <v>9</v>
      </c>
      <c r="F173" s="2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">
      <c r="A174" s="17" t="s">
        <v>441</v>
      </c>
      <c r="B174" s="98" t="s">
        <v>440</v>
      </c>
      <c r="C174" s="19"/>
      <c r="D174" s="20"/>
      <c r="E174" s="20" t="s">
        <v>9</v>
      </c>
      <c r="F174" s="2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">
      <c r="A175" s="17" t="s">
        <v>443</v>
      </c>
      <c r="B175" s="98" t="s">
        <v>442</v>
      </c>
      <c r="C175" s="19"/>
      <c r="D175" s="20"/>
      <c r="E175" s="20" t="s">
        <v>9</v>
      </c>
      <c r="F175" s="2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">
      <c r="A176" s="17" t="s">
        <v>445</v>
      </c>
      <c r="B176" s="98" t="s">
        <v>444</v>
      </c>
      <c r="C176" s="19"/>
      <c r="D176" s="20"/>
      <c r="E176" s="20" t="s">
        <v>9</v>
      </c>
      <c r="F176" s="2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">
      <c r="A177" s="17" t="s">
        <v>448</v>
      </c>
      <c r="B177" s="98" t="s">
        <v>446</v>
      </c>
      <c r="C177" s="19"/>
      <c r="D177" s="20"/>
      <c r="E177" s="20" t="s">
        <v>9</v>
      </c>
      <c r="F177" s="2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">
      <c r="A178" s="17" t="s">
        <v>449</v>
      </c>
      <c r="B178" s="98" t="s">
        <v>447</v>
      </c>
      <c r="C178" s="19"/>
      <c r="D178" s="20"/>
      <c r="E178" s="20" t="s">
        <v>9</v>
      </c>
      <c r="F178" s="2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">
      <c r="A179" s="17" t="s">
        <v>450</v>
      </c>
      <c r="B179" s="98" t="s">
        <v>453</v>
      </c>
      <c r="C179" s="19"/>
      <c r="D179" s="20"/>
      <c r="E179" s="20" t="s">
        <v>19</v>
      </c>
      <c r="F179" s="2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">
      <c r="A180" s="17" t="s">
        <v>451</v>
      </c>
      <c r="B180" s="98" t="s">
        <v>452</v>
      </c>
      <c r="C180" s="19"/>
      <c r="D180" s="20"/>
      <c r="E180" s="20" t="s">
        <v>29</v>
      </c>
      <c r="F180" s="2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">
      <c r="A181" s="17" t="s">
        <v>454</v>
      </c>
      <c r="B181" s="98" t="s">
        <v>455</v>
      </c>
      <c r="C181" s="19"/>
      <c r="D181" s="20"/>
      <c r="E181" s="20" t="s">
        <v>9</v>
      </c>
      <c r="F181" s="2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">
      <c r="A182" s="17" t="s">
        <v>456</v>
      </c>
      <c r="B182" s="98" t="s">
        <v>458</v>
      </c>
      <c r="C182" s="19"/>
      <c r="D182" s="20"/>
      <c r="E182" s="20" t="s">
        <v>9</v>
      </c>
      <c r="F182" s="2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">
      <c r="A183" s="17" t="s">
        <v>457</v>
      </c>
      <c r="B183" s="98" t="s">
        <v>461</v>
      </c>
      <c r="C183" s="19"/>
      <c r="D183" s="20"/>
      <c r="E183" s="20" t="s">
        <v>9</v>
      </c>
      <c r="F183" s="2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">
      <c r="A184" s="17" t="s">
        <v>459</v>
      </c>
      <c r="B184" s="98" t="s">
        <v>462</v>
      </c>
      <c r="C184" s="19"/>
      <c r="D184" s="20"/>
      <c r="E184" s="20" t="s">
        <v>9</v>
      </c>
      <c r="F184" s="2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">
      <c r="A185" s="17" t="s">
        <v>460</v>
      </c>
      <c r="B185" s="98" t="s">
        <v>463</v>
      </c>
      <c r="C185" s="19"/>
      <c r="D185" s="20"/>
      <c r="E185" s="20" t="s">
        <v>9</v>
      </c>
      <c r="F185" s="2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">
      <c r="A186" s="17" t="s">
        <v>465</v>
      </c>
      <c r="B186" s="98" t="s">
        <v>464</v>
      </c>
      <c r="C186" s="19"/>
      <c r="D186" s="20"/>
      <c r="E186" s="20" t="s">
        <v>9</v>
      </c>
      <c r="F186" s="2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">
      <c r="A187" s="17" t="s">
        <v>466</v>
      </c>
      <c r="B187" s="98" t="s">
        <v>467</v>
      </c>
      <c r="C187" s="19"/>
      <c r="D187" s="20"/>
      <c r="E187" s="20" t="s">
        <v>9</v>
      </c>
      <c r="F187" s="2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">
      <c r="A188" s="17" t="s">
        <v>469</v>
      </c>
      <c r="B188" s="98" t="s">
        <v>468</v>
      </c>
      <c r="C188" s="19"/>
      <c r="D188" s="20"/>
      <c r="E188" s="20" t="s">
        <v>29</v>
      </c>
      <c r="F188" s="2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">
      <c r="A189" s="17" t="s">
        <v>470</v>
      </c>
      <c r="B189" s="98" t="s">
        <v>476</v>
      </c>
      <c r="C189" s="19"/>
      <c r="D189" s="20"/>
      <c r="E189" s="20" t="s">
        <v>21</v>
      </c>
      <c r="F189" s="2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">
      <c r="A190" s="17" t="s">
        <v>471</v>
      </c>
      <c r="B190" s="98" t="s">
        <v>473</v>
      </c>
      <c r="C190" s="19"/>
      <c r="D190" s="20"/>
      <c r="E190" s="20" t="s">
        <v>15</v>
      </c>
      <c r="F190" s="2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">
      <c r="A191" s="17" t="s">
        <v>472</v>
      </c>
      <c r="B191" s="98" t="s">
        <v>474</v>
      </c>
      <c r="C191" s="19"/>
      <c r="D191" s="20"/>
      <c r="E191" s="20" t="s">
        <v>15</v>
      </c>
      <c r="F191" s="2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">
      <c r="A192" s="17" t="s">
        <v>477</v>
      </c>
      <c r="B192" s="98" t="s">
        <v>478</v>
      </c>
      <c r="C192" s="19"/>
      <c r="D192" s="20"/>
      <c r="E192" s="20" t="s">
        <v>29</v>
      </c>
      <c r="F192" s="2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">
      <c r="A193" s="17" t="s">
        <v>479</v>
      </c>
      <c r="B193" s="98" t="s">
        <v>475</v>
      </c>
      <c r="C193" s="19"/>
      <c r="D193" s="20"/>
      <c r="E193" s="20" t="s">
        <v>15</v>
      </c>
      <c r="F193" s="2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">
      <c r="A194" s="17" t="s">
        <v>482</v>
      </c>
      <c r="B194" s="98" t="s">
        <v>480</v>
      </c>
      <c r="C194" s="19"/>
      <c r="D194" s="20"/>
      <c r="E194" s="20" t="s">
        <v>25</v>
      </c>
      <c r="F194" s="2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">
      <c r="A195" s="17" t="s">
        <v>483</v>
      </c>
      <c r="B195" s="98" t="s">
        <v>481</v>
      </c>
      <c r="C195" s="19"/>
      <c r="D195" s="20"/>
      <c r="E195" s="20" t="s">
        <v>25</v>
      </c>
      <c r="F195" s="2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">
      <c r="A196" s="17" t="s">
        <v>485</v>
      </c>
      <c r="B196" s="98" t="s">
        <v>489</v>
      </c>
      <c r="C196" s="19"/>
      <c r="D196" s="20"/>
      <c r="E196" s="20" t="s">
        <v>21</v>
      </c>
      <c r="F196" s="2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">
      <c r="A197" s="17" t="s">
        <v>486</v>
      </c>
      <c r="B197" s="98" t="s">
        <v>491</v>
      </c>
      <c r="C197" s="19"/>
      <c r="D197" s="20"/>
      <c r="E197" s="20" t="s">
        <v>21</v>
      </c>
      <c r="F197" s="2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">
      <c r="A198" s="17" t="s">
        <v>490</v>
      </c>
      <c r="B198" s="98" t="s">
        <v>487</v>
      </c>
      <c r="C198" s="19"/>
      <c r="D198" s="20"/>
      <c r="E198" s="20" t="s">
        <v>21</v>
      </c>
      <c r="F198" s="2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">
      <c r="A199" s="17" t="s">
        <v>492</v>
      </c>
      <c r="B199" s="98" t="s">
        <v>488</v>
      </c>
      <c r="C199" s="19"/>
      <c r="D199" s="20"/>
      <c r="E199" s="20" t="s">
        <v>21</v>
      </c>
      <c r="F199" s="2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">
      <c r="A200" s="17" t="s">
        <v>497</v>
      </c>
      <c r="B200" s="98" t="s">
        <v>493</v>
      </c>
      <c r="C200" s="19"/>
      <c r="D200" s="20"/>
      <c r="E200" s="20" t="s">
        <v>21</v>
      </c>
      <c r="F200" s="2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">
      <c r="A201" s="17" t="s">
        <v>498</v>
      </c>
      <c r="B201" s="98" t="s">
        <v>494</v>
      </c>
      <c r="C201" s="19"/>
      <c r="D201" s="20"/>
      <c r="E201" s="20" t="s">
        <v>21</v>
      </c>
      <c r="F201" s="2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">
      <c r="A202" s="17" t="s">
        <v>499</v>
      </c>
      <c r="B202" s="98" t="s">
        <v>495</v>
      </c>
      <c r="C202" s="19"/>
      <c r="D202" s="20"/>
      <c r="E202" s="20" t="s">
        <v>21</v>
      </c>
      <c r="F202" s="2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">
      <c r="A203" s="17" t="s">
        <v>500</v>
      </c>
      <c r="B203" s="98" t="s">
        <v>496</v>
      </c>
      <c r="C203" s="19"/>
      <c r="D203" s="20"/>
      <c r="E203" s="20" t="s">
        <v>21</v>
      </c>
      <c r="F203" s="2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">
      <c r="A204" s="17" t="s">
        <v>501</v>
      </c>
      <c r="B204" s="98" t="s">
        <v>508</v>
      </c>
      <c r="C204" s="19"/>
      <c r="D204" s="20"/>
      <c r="E204" s="20" t="s">
        <v>9</v>
      </c>
      <c r="F204" s="2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">
      <c r="A205" s="17" t="s">
        <v>502</v>
      </c>
      <c r="B205" s="98" t="s">
        <v>509</v>
      </c>
      <c r="C205" s="19"/>
      <c r="D205" s="20"/>
      <c r="E205" s="20" t="s">
        <v>9</v>
      </c>
      <c r="F205" s="2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">
      <c r="A206" s="17" t="s">
        <v>503</v>
      </c>
      <c r="B206" s="98" t="s">
        <v>510</v>
      </c>
      <c r="C206" s="19"/>
      <c r="D206" s="20"/>
      <c r="E206" s="20" t="s">
        <v>9</v>
      </c>
      <c r="F206" s="2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">
      <c r="A207" s="17" t="s">
        <v>504</v>
      </c>
      <c r="B207" s="98" t="s">
        <v>511</v>
      </c>
      <c r="C207" s="19"/>
      <c r="D207" s="20"/>
      <c r="E207" s="20" t="s">
        <v>9</v>
      </c>
      <c r="F207" s="2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">
      <c r="A208" s="17" t="s">
        <v>505</v>
      </c>
      <c r="B208" s="98" t="s">
        <v>512</v>
      </c>
      <c r="C208" s="19"/>
      <c r="D208" s="20"/>
      <c r="E208" s="20" t="s">
        <v>19</v>
      </c>
      <c r="F208" s="2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">
      <c r="A209" s="17" t="s">
        <v>506</v>
      </c>
      <c r="B209" s="98" t="s">
        <v>513</v>
      </c>
      <c r="C209" s="19"/>
      <c r="D209" s="20"/>
      <c r="E209" s="20" t="s">
        <v>9</v>
      </c>
      <c r="F209" s="2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">
      <c r="A210" s="17" t="s">
        <v>507</v>
      </c>
      <c r="B210" s="98" t="s">
        <v>514</v>
      </c>
      <c r="C210" s="19"/>
      <c r="D210" s="20"/>
      <c r="E210" s="20" t="s">
        <v>9</v>
      </c>
      <c r="F210" s="2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">
      <c r="A211" s="17" t="s">
        <v>516</v>
      </c>
      <c r="B211" s="98" t="s">
        <v>515</v>
      </c>
      <c r="C211" s="19"/>
      <c r="D211" s="20"/>
      <c r="E211" s="20" t="s">
        <v>9</v>
      </c>
      <c r="F211" s="2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">
      <c r="A212" s="17" t="s">
        <v>517</v>
      </c>
      <c r="B212" s="98" t="s">
        <v>519</v>
      </c>
      <c r="C212" s="19"/>
      <c r="D212" s="20"/>
      <c r="E212" s="20" t="s">
        <v>9</v>
      </c>
      <c r="F212" s="2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">
      <c r="A213" s="17" t="s">
        <v>518</v>
      </c>
      <c r="B213" s="98" t="s">
        <v>544</v>
      </c>
      <c r="C213" s="19"/>
      <c r="D213" s="20"/>
      <c r="E213" s="20" t="s">
        <v>9</v>
      </c>
      <c r="F213" s="2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">
      <c r="A214" s="17" t="s">
        <v>520</v>
      </c>
      <c r="B214" s="98" t="s">
        <v>521</v>
      </c>
      <c r="C214" s="19"/>
      <c r="D214" s="20"/>
      <c r="E214" s="20" t="s">
        <v>9</v>
      </c>
      <c r="F214" s="2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">
      <c r="A215" s="17" t="s">
        <v>522</v>
      </c>
      <c r="B215" s="98" t="s">
        <v>524</v>
      </c>
      <c r="C215" s="19"/>
      <c r="D215" s="20"/>
      <c r="E215" s="20" t="s">
        <v>9</v>
      </c>
      <c r="F215" s="2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">
      <c r="A216" s="17" t="s">
        <v>523</v>
      </c>
      <c r="B216" s="98" t="s">
        <v>525</v>
      </c>
      <c r="C216" s="19"/>
      <c r="D216" s="20"/>
      <c r="E216" s="20" t="s">
        <v>9</v>
      </c>
      <c r="F216" s="2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">
      <c r="A217" s="17" t="s">
        <v>526</v>
      </c>
      <c r="B217" s="98" t="s">
        <v>527</v>
      </c>
      <c r="C217" s="19"/>
      <c r="D217" s="20"/>
      <c r="E217" s="20" t="s">
        <v>9</v>
      </c>
      <c r="F217" s="2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">
      <c r="A218" s="17" t="s">
        <v>528</v>
      </c>
      <c r="B218" s="98" t="s">
        <v>529</v>
      </c>
      <c r="C218" s="19"/>
      <c r="D218" s="20"/>
      <c r="E218" s="20" t="s">
        <v>9</v>
      </c>
      <c r="F218" s="2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">
      <c r="A219" s="17" t="s">
        <v>530</v>
      </c>
      <c r="B219" s="98" t="s">
        <v>532</v>
      </c>
      <c r="C219" s="19"/>
      <c r="D219" s="20"/>
      <c r="E219" s="20" t="s">
        <v>9</v>
      </c>
      <c r="F219" s="2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">
      <c r="A220" s="17" t="s">
        <v>531</v>
      </c>
      <c r="B220" s="98" t="s">
        <v>533</v>
      </c>
      <c r="C220" s="19"/>
      <c r="D220" s="20"/>
      <c r="E220" s="20" t="s">
        <v>9</v>
      </c>
      <c r="F220" s="2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">
      <c r="A221" s="17" t="s">
        <v>534</v>
      </c>
      <c r="B221" s="98" t="s">
        <v>535</v>
      </c>
      <c r="C221" s="19"/>
      <c r="D221" s="20"/>
      <c r="E221" s="20" t="s">
        <v>9</v>
      </c>
      <c r="F221" s="2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">
      <c r="A222" s="17" t="s">
        <v>537</v>
      </c>
      <c r="B222" s="98" t="s">
        <v>536</v>
      </c>
      <c r="C222" s="19"/>
      <c r="D222" s="20"/>
      <c r="E222" s="20" t="s">
        <v>9</v>
      </c>
      <c r="F222" s="2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">
      <c r="A223" s="17" t="s">
        <v>540</v>
      </c>
      <c r="B223" s="98" t="s">
        <v>539</v>
      </c>
      <c r="C223" s="19"/>
      <c r="D223" s="20"/>
      <c r="E223" s="20" t="s">
        <v>9</v>
      </c>
      <c r="F223" s="2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">
      <c r="A224" s="17" t="s">
        <v>541</v>
      </c>
      <c r="B224" s="98" t="s">
        <v>546</v>
      </c>
      <c r="C224" s="19"/>
      <c r="D224" s="20"/>
      <c r="E224" s="20" t="s">
        <v>21</v>
      </c>
      <c r="F224" s="2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">
      <c r="A225" s="17" t="s">
        <v>542</v>
      </c>
      <c r="B225" s="98" t="s">
        <v>547</v>
      </c>
      <c r="C225" s="19"/>
      <c r="D225" s="20"/>
      <c r="E225" s="20" t="s">
        <v>29</v>
      </c>
      <c r="F225" s="2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">
      <c r="A226" s="17" t="s">
        <v>543</v>
      </c>
      <c r="B226" s="98" t="s">
        <v>548</v>
      </c>
      <c r="C226" s="19"/>
      <c r="D226" s="20"/>
      <c r="E226" s="20" t="s">
        <v>19</v>
      </c>
      <c r="F226" s="2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">
      <c r="A227" s="17" t="s">
        <v>549</v>
      </c>
      <c r="B227" s="98" t="s">
        <v>552</v>
      </c>
      <c r="C227" s="19"/>
      <c r="D227" s="20"/>
      <c r="E227" s="20" t="s">
        <v>9</v>
      </c>
      <c r="F227" s="2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">
      <c r="A228" s="17" t="s">
        <v>550</v>
      </c>
      <c r="B228" s="98" t="s">
        <v>553</v>
      </c>
      <c r="C228" s="19"/>
      <c r="D228" s="20"/>
      <c r="E228" s="20" t="s">
        <v>9</v>
      </c>
      <c r="F228" s="2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">
      <c r="A229" s="17" t="s">
        <v>551</v>
      </c>
      <c r="B229" s="98" t="s">
        <v>555</v>
      </c>
      <c r="C229" s="19"/>
      <c r="D229" s="20"/>
      <c r="E229" s="20" t="s">
        <v>9</v>
      </c>
      <c r="F229" s="2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">
      <c r="A230" s="17" t="s">
        <v>556</v>
      </c>
      <c r="B230" s="98" t="s">
        <v>554</v>
      </c>
      <c r="C230" s="19"/>
      <c r="D230" s="20"/>
      <c r="E230" s="20" t="s">
        <v>21</v>
      </c>
      <c r="F230" s="2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">
      <c r="A231" s="17" t="s">
        <v>557</v>
      </c>
      <c r="B231" s="98" t="s">
        <v>559</v>
      </c>
      <c r="C231" s="19"/>
      <c r="D231" s="20"/>
      <c r="E231" s="20" t="s">
        <v>15</v>
      </c>
      <c r="F231" s="2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">
      <c r="A232" s="17" t="s">
        <v>558</v>
      </c>
      <c r="B232" s="98" t="s">
        <v>560</v>
      </c>
      <c r="C232" s="19"/>
      <c r="D232" s="20"/>
      <c r="E232" s="20" t="s">
        <v>15</v>
      </c>
      <c r="F232" s="2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">
      <c r="A233" s="17" t="s">
        <v>564</v>
      </c>
      <c r="B233" s="98" t="s">
        <v>567</v>
      </c>
      <c r="C233" s="19"/>
      <c r="D233" s="20"/>
      <c r="E233" s="20" t="s">
        <v>15</v>
      </c>
      <c r="F233" s="2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">
      <c r="A234" s="17" t="s">
        <v>565</v>
      </c>
      <c r="B234" s="98" t="s">
        <v>568</v>
      </c>
      <c r="C234" s="19"/>
      <c r="D234" s="20"/>
      <c r="E234" s="20" t="s">
        <v>15</v>
      </c>
      <c r="F234" s="2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">
      <c r="A235" s="17" t="s">
        <v>566</v>
      </c>
      <c r="B235" s="98" t="s">
        <v>570</v>
      </c>
      <c r="C235" s="19"/>
      <c r="D235" s="20"/>
      <c r="E235" s="20" t="s">
        <v>15</v>
      </c>
      <c r="F235" s="2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">
      <c r="A236" s="17" t="s">
        <v>569</v>
      </c>
      <c r="B236" s="98" t="s">
        <v>571</v>
      </c>
      <c r="C236" s="19"/>
      <c r="D236" s="20"/>
      <c r="E236" s="20" t="s">
        <v>19</v>
      </c>
      <c r="F236" s="2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">
      <c r="A237" s="17" t="s">
        <v>574</v>
      </c>
      <c r="B237" s="98" t="s">
        <v>562</v>
      </c>
      <c r="C237" s="19"/>
      <c r="D237" s="20"/>
      <c r="E237" s="20" t="s">
        <v>25</v>
      </c>
      <c r="F237" s="2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">
      <c r="A238" s="17" t="s">
        <v>575</v>
      </c>
      <c r="B238" s="98" t="s">
        <v>579</v>
      </c>
      <c r="C238" s="19"/>
      <c r="D238" s="20"/>
      <c r="E238" s="20" t="s">
        <v>19</v>
      </c>
      <c r="F238" s="2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">
      <c r="A239" s="17" t="s">
        <v>576</v>
      </c>
      <c r="B239" s="98" t="s">
        <v>572</v>
      </c>
      <c r="C239" s="19"/>
      <c r="D239" s="20"/>
      <c r="E239" s="20" t="s">
        <v>19</v>
      </c>
      <c r="F239" s="2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">
      <c r="A240" s="17" t="s">
        <v>577</v>
      </c>
      <c r="B240" s="98" t="s">
        <v>573</v>
      </c>
      <c r="C240" s="19"/>
      <c r="D240" s="20"/>
      <c r="E240" s="20" t="s">
        <v>19</v>
      </c>
      <c r="F240" s="2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">
      <c r="A241" s="17" t="s">
        <v>578</v>
      </c>
      <c r="B241" s="98" t="s">
        <v>580</v>
      </c>
      <c r="C241" s="19"/>
      <c r="D241" s="20"/>
      <c r="E241" s="20" t="s">
        <v>9</v>
      </c>
      <c r="F241" s="2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">
      <c r="A242" s="17" t="s">
        <v>582</v>
      </c>
      <c r="B242" s="98" t="s">
        <v>581</v>
      </c>
      <c r="C242" s="19"/>
      <c r="D242" s="20"/>
      <c r="E242" s="20" t="s">
        <v>21</v>
      </c>
      <c r="F242" s="2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">
      <c r="A243" s="17" t="s">
        <v>583</v>
      </c>
      <c r="B243" s="98" t="s">
        <v>585</v>
      </c>
      <c r="C243" s="19"/>
      <c r="D243" s="20"/>
      <c r="E243" s="20" t="s">
        <v>9</v>
      </c>
      <c r="F243" s="2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">
      <c r="A244" s="17" t="s">
        <v>586</v>
      </c>
      <c r="B244" s="98" t="s">
        <v>588</v>
      </c>
      <c r="C244" s="19"/>
      <c r="D244" s="20"/>
      <c r="E244" s="20" t="s">
        <v>19</v>
      </c>
      <c r="F244" s="2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">
      <c r="A245" s="17" t="s">
        <v>587</v>
      </c>
      <c r="B245" s="98" t="s">
        <v>589</v>
      </c>
      <c r="C245" s="19"/>
      <c r="D245" s="20"/>
      <c r="E245" s="20" t="s">
        <v>21</v>
      </c>
      <c r="F245" s="2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">
      <c r="A246" s="17" t="s">
        <v>591</v>
      </c>
      <c r="B246" s="98" t="s">
        <v>590</v>
      </c>
      <c r="C246" s="19"/>
      <c r="D246" s="20"/>
      <c r="E246" s="20" t="s">
        <v>21</v>
      </c>
      <c r="F246" s="2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">
      <c r="A247" s="17" t="s">
        <v>592</v>
      </c>
      <c r="B247" s="98" t="s">
        <v>603</v>
      </c>
      <c r="C247" s="19"/>
      <c r="D247" s="20"/>
      <c r="E247" s="20" t="s">
        <v>19</v>
      </c>
      <c r="F247" s="2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">
      <c r="A248" s="17" t="s">
        <v>593</v>
      </c>
      <c r="B248" s="98" t="s">
        <v>604</v>
      </c>
      <c r="C248" s="19"/>
      <c r="D248" s="20"/>
      <c r="E248" s="20" t="s">
        <v>19</v>
      </c>
      <c r="F248" s="2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">
      <c r="A249" s="17" t="s">
        <v>595</v>
      </c>
      <c r="B249" s="98" t="s">
        <v>605</v>
      </c>
      <c r="C249" s="19"/>
      <c r="D249" s="20"/>
      <c r="E249" s="20" t="s">
        <v>19</v>
      </c>
      <c r="F249" s="2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">
      <c r="A250" s="17" t="s">
        <v>598</v>
      </c>
      <c r="B250" s="98" t="s">
        <v>606</v>
      </c>
      <c r="C250" s="19"/>
      <c r="D250" s="20"/>
      <c r="E250" s="20" t="s">
        <v>19</v>
      </c>
      <c r="F250" s="2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">
      <c r="A251" s="17" t="s">
        <v>599</v>
      </c>
      <c r="B251" s="98" t="s">
        <v>607</v>
      </c>
      <c r="C251" s="19"/>
      <c r="D251" s="20"/>
      <c r="E251" s="20" t="s">
        <v>19</v>
      </c>
      <c r="F251" s="2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">
      <c r="A252" s="17" t="s">
        <v>600</v>
      </c>
      <c r="B252" s="98" t="s">
        <v>608</v>
      </c>
      <c r="C252" s="19"/>
      <c r="D252" s="20"/>
      <c r="E252" s="20" t="s">
        <v>15</v>
      </c>
      <c r="F252" s="2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">
      <c r="A253" s="17" t="s">
        <v>601</v>
      </c>
      <c r="B253" s="98" t="s">
        <v>610</v>
      </c>
      <c r="C253" s="19"/>
      <c r="D253" s="20"/>
      <c r="E253" s="20" t="s">
        <v>15</v>
      </c>
      <c r="F253" s="2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">
      <c r="A254" s="17" t="s">
        <v>602</v>
      </c>
      <c r="B254" s="98" t="s">
        <v>561</v>
      </c>
      <c r="C254" s="19"/>
      <c r="D254" s="20"/>
      <c r="E254" s="20" t="s">
        <v>21</v>
      </c>
      <c r="F254" s="2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">
      <c r="A255" s="17" t="s">
        <v>609</v>
      </c>
      <c r="B255" s="98" t="s">
        <v>615</v>
      </c>
      <c r="C255" s="19"/>
      <c r="D255" s="20"/>
      <c r="E255" s="20" t="s">
        <v>29</v>
      </c>
      <c r="F255" s="2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">
      <c r="A256" s="17" t="s">
        <v>611</v>
      </c>
      <c r="B256" s="98" t="s">
        <v>647</v>
      </c>
      <c r="C256" s="19"/>
      <c r="D256" s="20"/>
      <c r="E256" s="20" t="s">
        <v>29</v>
      </c>
      <c r="F256" s="2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">
      <c r="A257" s="17" t="s">
        <v>617</v>
      </c>
      <c r="B257" s="98" t="s">
        <v>616</v>
      </c>
      <c r="C257" s="19"/>
      <c r="D257" s="20"/>
      <c r="E257" s="20" t="s">
        <v>21</v>
      </c>
      <c r="F257" s="2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">
      <c r="A258" s="17" t="s">
        <v>618</v>
      </c>
      <c r="B258" s="98" t="s">
        <v>626</v>
      </c>
      <c r="C258" s="19"/>
      <c r="D258" s="20"/>
      <c r="E258" s="20" t="s">
        <v>9</v>
      </c>
      <c r="F258" s="2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">
      <c r="A259" s="17" t="s">
        <v>619</v>
      </c>
      <c r="B259" s="98" t="s">
        <v>627</v>
      </c>
      <c r="C259" s="19"/>
      <c r="D259" s="20"/>
      <c r="E259" s="20" t="s">
        <v>9</v>
      </c>
      <c r="F259" s="2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">
      <c r="A260" s="17" t="s">
        <v>620</v>
      </c>
      <c r="B260" s="98" t="s">
        <v>749</v>
      </c>
      <c r="C260" s="19"/>
      <c r="D260" s="20"/>
      <c r="E260" s="20" t="s">
        <v>9</v>
      </c>
      <c r="F260" s="2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">
      <c r="A261" s="17" t="s">
        <v>621</v>
      </c>
      <c r="B261" s="98" t="s">
        <v>628</v>
      </c>
      <c r="C261" s="19"/>
      <c r="D261" s="20"/>
      <c r="E261" s="20" t="s">
        <v>9</v>
      </c>
      <c r="F261" s="2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">
      <c r="A262" s="17" t="s">
        <v>622</v>
      </c>
      <c r="B262" s="98" t="s">
        <v>629</v>
      </c>
      <c r="C262" s="19"/>
      <c r="D262" s="20"/>
      <c r="E262" s="20" t="s">
        <v>9</v>
      </c>
      <c r="F262" s="2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">
      <c r="A263" s="17" t="s">
        <v>623</v>
      </c>
      <c r="B263" s="98" t="s">
        <v>612</v>
      </c>
      <c r="C263" s="19"/>
      <c r="D263" s="20"/>
      <c r="E263" s="20" t="s">
        <v>9</v>
      </c>
      <c r="F263" s="2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">
      <c r="A264" s="17" t="s">
        <v>624</v>
      </c>
      <c r="B264" s="98" t="s">
        <v>613</v>
      </c>
      <c r="C264" s="19"/>
      <c r="D264" s="20"/>
      <c r="E264" s="20" t="s">
        <v>9</v>
      </c>
      <c r="F264" s="2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">
      <c r="A265" s="17" t="s">
        <v>625</v>
      </c>
      <c r="B265" s="98" t="s">
        <v>614</v>
      </c>
      <c r="C265" s="19"/>
      <c r="D265" s="20"/>
      <c r="E265" s="20" t="s">
        <v>9</v>
      </c>
      <c r="F265" s="2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">
      <c r="A266" s="17" t="s">
        <v>630</v>
      </c>
      <c r="B266" s="98" t="s">
        <v>632</v>
      </c>
      <c r="C266" s="19"/>
      <c r="D266" s="20"/>
      <c r="E266" s="20" t="s">
        <v>9</v>
      </c>
      <c r="F266" s="2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">
      <c r="A267" s="17" t="s">
        <v>634</v>
      </c>
      <c r="B267" s="98" t="s">
        <v>633</v>
      </c>
      <c r="C267" s="19"/>
      <c r="D267" s="20"/>
      <c r="E267" s="20" t="s">
        <v>9</v>
      </c>
      <c r="F267" s="2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">
      <c r="A268" s="17" t="s">
        <v>635</v>
      </c>
      <c r="B268" s="98" t="s">
        <v>637</v>
      </c>
      <c r="C268" s="19"/>
      <c r="D268" s="20"/>
      <c r="E268" s="20" t="s">
        <v>9</v>
      </c>
      <c r="F268" s="2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">
      <c r="A269" s="17" t="s">
        <v>636</v>
      </c>
      <c r="B269" s="98" t="s">
        <v>639</v>
      </c>
      <c r="C269" s="19"/>
      <c r="D269" s="20"/>
      <c r="E269" s="20" t="s">
        <v>9</v>
      </c>
      <c r="F269" s="2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">
      <c r="A270" s="17" t="s">
        <v>638</v>
      </c>
      <c r="B270" s="98" t="s">
        <v>640</v>
      </c>
      <c r="C270" s="19"/>
      <c r="D270" s="20"/>
      <c r="E270" s="20" t="s">
        <v>9</v>
      </c>
      <c r="F270" s="2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">
      <c r="A271" s="17" t="s">
        <v>641</v>
      </c>
      <c r="B271" s="98" t="s">
        <v>642</v>
      </c>
      <c r="C271" s="19"/>
      <c r="D271" s="20"/>
      <c r="E271" s="20" t="s">
        <v>9</v>
      </c>
      <c r="F271" s="2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">
      <c r="A272" s="17" t="s">
        <v>643</v>
      </c>
      <c r="B272" s="98" t="s">
        <v>651</v>
      </c>
      <c r="C272" s="19"/>
      <c r="D272" s="20"/>
      <c r="E272" s="20" t="s">
        <v>9</v>
      </c>
      <c r="F272" s="2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">
      <c r="A273" s="17" t="s">
        <v>644</v>
      </c>
      <c r="B273" s="98" t="s">
        <v>645</v>
      </c>
      <c r="C273" s="19"/>
      <c r="D273" s="20"/>
      <c r="E273" s="20" t="s">
        <v>9</v>
      </c>
      <c r="F273" s="2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">
      <c r="A274" s="17" t="s">
        <v>646</v>
      </c>
      <c r="B274" s="98" t="s">
        <v>649</v>
      </c>
      <c r="C274" s="19"/>
      <c r="D274" s="20"/>
      <c r="E274" s="20" t="s">
        <v>9</v>
      </c>
      <c r="F274" s="2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">
      <c r="A275" s="17" t="s">
        <v>648</v>
      </c>
      <c r="B275" s="98" t="s">
        <v>652</v>
      </c>
      <c r="C275" s="19"/>
      <c r="D275" s="20"/>
      <c r="E275" s="20" t="s">
        <v>9</v>
      </c>
      <c r="F275" s="2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">
      <c r="A276" s="17" t="s">
        <v>650</v>
      </c>
      <c r="B276" s="98" t="s">
        <v>655</v>
      </c>
      <c r="C276" s="19"/>
      <c r="D276" s="20"/>
      <c r="E276" s="20" t="s">
        <v>9</v>
      </c>
      <c r="F276" s="2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">
      <c r="A277" s="17" t="s">
        <v>653</v>
      </c>
      <c r="B277" s="98" t="s">
        <v>594</v>
      </c>
      <c r="C277" s="19"/>
      <c r="D277" s="20"/>
      <c r="E277" s="20" t="s">
        <v>9</v>
      </c>
      <c r="F277" s="2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">
      <c r="A278" s="17" t="s">
        <v>654</v>
      </c>
      <c r="B278" s="98" t="s">
        <v>659</v>
      </c>
      <c r="C278" s="19"/>
      <c r="D278" s="20"/>
      <c r="E278" s="20" t="s">
        <v>9</v>
      </c>
      <c r="F278" s="2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">
      <c r="A279" s="17" t="s">
        <v>656</v>
      </c>
      <c r="B279" s="98" t="s">
        <v>660</v>
      </c>
      <c r="C279" s="19"/>
      <c r="D279" s="20"/>
      <c r="E279" s="20" t="s">
        <v>9</v>
      </c>
      <c r="F279" s="2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">
      <c r="A280" s="17" t="s">
        <v>657</v>
      </c>
      <c r="B280" s="98" t="s">
        <v>661</v>
      </c>
      <c r="C280" s="19"/>
      <c r="D280" s="20"/>
      <c r="E280" s="20" t="s">
        <v>9</v>
      </c>
      <c r="F280" s="2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">
      <c r="A281" s="17" t="s">
        <v>658</v>
      </c>
      <c r="B281" s="98" t="s">
        <v>663</v>
      </c>
      <c r="C281" s="19"/>
      <c r="D281" s="20"/>
      <c r="E281" s="20" t="s">
        <v>9</v>
      </c>
      <c r="F281" s="2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">
      <c r="A282" s="17" t="s">
        <v>662</v>
      </c>
      <c r="B282" s="98" t="s">
        <v>664</v>
      </c>
      <c r="C282" s="19"/>
      <c r="D282" s="20"/>
      <c r="E282" s="20" t="s">
        <v>9</v>
      </c>
      <c r="F282" s="2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">
      <c r="A283" s="17" t="s">
        <v>668</v>
      </c>
      <c r="B283" s="98" t="s">
        <v>665</v>
      </c>
      <c r="C283" s="19"/>
      <c r="D283" s="20"/>
      <c r="E283" s="20" t="s">
        <v>9</v>
      </c>
      <c r="F283" s="2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">
      <c r="A284" s="17" t="s">
        <v>669</v>
      </c>
      <c r="B284" s="98" t="s">
        <v>666</v>
      </c>
      <c r="C284" s="19"/>
      <c r="D284" s="20"/>
      <c r="E284" s="20" t="s">
        <v>9</v>
      </c>
      <c r="F284" s="2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">
      <c r="A285" s="17" t="s">
        <v>670</v>
      </c>
      <c r="B285" s="98" t="s">
        <v>667</v>
      </c>
      <c r="C285" s="19"/>
      <c r="D285" s="20"/>
      <c r="E285" s="20" t="s">
        <v>9</v>
      </c>
      <c r="F285" s="2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">
      <c r="A286" s="17" t="s">
        <v>671</v>
      </c>
      <c r="B286" s="98" t="s">
        <v>672</v>
      </c>
      <c r="C286" s="19"/>
      <c r="D286" s="20"/>
      <c r="E286" s="20" t="s">
        <v>15</v>
      </c>
      <c r="F286" s="2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">
      <c r="A287" s="17" t="s">
        <v>679</v>
      </c>
      <c r="B287" s="98" t="s">
        <v>673</v>
      </c>
      <c r="C287" s="19"/>
      <c r="D287" s="20"/>
      <c r="E287" s="20" t="s">
        <v>15</v>
      </c>
      <c r="F287" s="2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">
      <c r="A288" s="17" t="s">
        <v>680</v>
      </c>
      <c r="B288" s="98" t="s">
        <v>674</v>
      </c>
      <c r="C288" s="19"/>
      <c r="D288" s="20"/>
      <c r="E288" s="20" t="s">
        <v>15</v>
      </c>
      <c r="F288" s="2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">
      <c r="A289" s="17" t="s">
        <v>681</v>
      </c>
      <c r="B289" s="98" t="s">
        <v>675</v>
      </c>
      <c r="C289" s="19"/>
      <c r="D289" s="20"/>
      <c r="E289" s="20" t="s">
        <v>15</v>
      </c>
      <c r="F289" s="2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">
      <c r="A290" s="17" t="s">
        <v>682</v>
      </c>
      <c r="B290" s="98" t="s">
        <v>676</v>
      </c>
      <c r="C290" s="19"/>
      <c r="D290" s="20"/>
      <c r="E290" s="20" t="s">
        <v>15</v>
      </c>
      <c r="F290" s="2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">
      <c r="A291" s="17" t="s">
        <v>683</v>
      </c>
      <c r="B291" s="98" t="s">
        <v>677</v>
      </c>
      <c r="C291" s="19"/>
      <c r="D291" s="20"/>
      <c r="E291" s="20" t="s">
        <v>15</v>
      </c>
      <c r="F291" s="2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">
      <c r="A292" s="17" t="s">
        <v>684</v>
      </c>
      <c r="B292" s="98" t="s">
        <v>678</v>
      </c>
      <c r="C292" s="19"/>
      <c r="D292" s="20"/>
      <c r="E292" s="20" t="s">
        <v>15</v>
      </c>
      <c r="F292" s="2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">
      <c r="A293" s="17" t="s">
        <v>685</v>
      </c>
      <c r="B293" s="98" t="s">
        <v>697</v>
      </c>
      <c r="C293" s="19"/>
      <c r="D293" s="20"/>
      <c r="E293" s="20" t="s">
        <v>19</v>
      </c>
      <c r="F293" s="2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">
      <c r="A294" s="17" t="s">
        <v>686</v>
      </c>
      <c r="B294" s="98" t="s">
        <v>698</v>
      </c>
      <c r="C294" s="19"/>
      <c r="D294" s="20"/>
      <c r="E294" s="20" t="s">
        <v>21</v>
      </c>
      <c r="F294" s="2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">
      <c r="A295" s="17" t="s">
        <v>687</v>
      </c>
      <c r="B295" s="98" t="s">
        <v>699</v>
      </c>
      <c r="C295" s="19"/>
      <c r="D295" s="20"/>
      <c r="E295" s="20" t="s">
        <v>21</v>
      </c>
      <c r="F295" s="2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">
      <c r="A296" s="17" t="s">
        <v>688</v>
      </c>
      <c r="B296" s="98" t="s">
        <v>700</v>
      </c>
      <c r="C296" s="19"/>
      <c r="D296" s="20"/>
      <c r="E296" s="20" t="s">
        <v>21</v>
      </c>
      <c r="F296" s="2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">
      <c r="A297" s="17" t="s">
        <v>689</v>
      </c>
      <c r="B297" s="98" t="s">
        <v>701</v>
      </c>
      <c r="C297" s="19"/>
      <c r="D297" s="20"/>
      <c r="E297" s="20" t="s">
        <v>9</v>
      </c>
      <c r="F297" s="2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">
      <c r="A298" s="17" t="s">
        <v>690</v>
      </c>
      <c r="B298" s="98" t="s">
        <v>702</v>
      </c>
      <c r="C298" s="19"/>
      <c r="D298" s="20"/>
      <c r="E298" s="20" t="s">
        <v>9</v>
      </c>
      <c r="F298" s="2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">
      <c r="A299" s="17" t="s">
        <v>691</v>
      </c>
      <c r="B299" s="98" t="s">
        <v>703</v>
      </c>
      <c r="C299" s="19"/>
      <c r="D299" s="20"/>
      <c r="E299" s="20" t="s">
        <v>21</v>
      </c>
      <c r="F299" s="2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">
      <c r="A300" s="17" t="s">
        <v>692</v>
      </c>
      <c r="B300" s="98" t="s">
        <v>705</v>
      </c>
      <c r="C300" s="19"/>
      <c r="D300" s="20"/>
      <c r="E300" s="20" t="s">
        <v>15</v>
      </c>
      <c r="F300" s="2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">
      <c r="A301" s="17" t="s">
        <v>693</v>
      </c>
      <c r="B301" s="98" t="s">
        <v>706</v>
      </c>
      <c r="C301" s="19"/>
      <c r="D301" s="20"/>
      <c r="E301" s="20" t="s">
        <v>9</v>
      </c>
      <c r="F301" s="2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">
      <c r="A302" s="17" t="s">
        <v>694</v>
      </c>
      <c r="B302" s="98" t="s">
        <v>704</v>
      </c>
      <c r="C302" s="19"/>
      <c r="D302" s="20"/>
      <c r="E302" s="20" t="s">
        <v>15</v>
      </c>
      <c r="F302" s="2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">
      <c r="A303" s="17" t="s">
        <v>695</v>
      </c>
      <c r="B303" s="98" t="s">
        <v>707</v>
      </c>
      <c r="C303" s="19"/>
      <c r="D303" s="20"/>
      <c r="E303" s="20" t="s">
        <v>15</v>
      </c>
      <c r="F303" s="2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">
      <c r="A304" s="17" t="s">
        <v>709</v>
      </c>
      <c r="B304" s="98" t="s">
        <v>711</v>
      </c>
      <c r="C304" s="19"/>
      <c r="D304" s="20"/>
      <c r="E304" s="20" t="s">
        <v>9</v>
      </c>
      <c r="F304" s="2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">
      <c r="A305" s="17" t="s">
        <v>710</v>
      </c>
      <c r="B305" s="98" t="s">
        <v>712</v>
      </c>
      <c r="C305" s="19"/>
      <c r="D305" s="20"/>
      <c r="E305" s="20" t="s">
        <v>9</v>
      </c>
      <c r="F305" s="2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">
      <c r="A306" s="17" t="s">
        <v>714</v>
      </c>
      <c r="B306" s="98" t="s">
        <v>713</v>
      </c>
      <c r="C306" s="19"/>
      <c r="D306" s="20"/>
      <c r="E306" s="20" t="s">
        <v>9</v>
      </c>
      <c r="F306" s="2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">
      <c r="A307" s="17" t="s">
        <v>715</v>
      </c>
      <c r="B307" s="98" t="s">
        <v>716</v>
      </c>
      <c r="C307" s="19"/>
      <c r="D307" s="20"/>
      <c r="E307" s="20" t="s">
        <v>9</v>
      </c>
      <c r="F307" s="2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">
      <c r="A308" s="17" t="s">
        <v>717</v>
      </c>
      <c r="B308" s="98" t="s">
        <v>721</v>
      </c>
      <c r="C308" s="19"/>
      <c r="D308" s="20"/>
      <c r="E308" s="20" t="s">
        <v>21</v>
      </c>
      <c r="F308" s="2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">
      <c r="A309" s="17" t="s">
        <v>722</v>
      </c>
      <c r="B309" s="98" t="s">
        <v>745</v>
      </c>
      <c r="C309" s="19"/>
      <c r="D309" s="20"/>
      <c r="E309" s="20" t="s">
        <v>9</v>
      </c>
      <c r="F309" s="2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">
      <c r="A310" s="17" t="s">
        <v>755</v>
      </c>
      <c r="B310" s="98" t="s">
        <v>730</v>
      </c>
      <c r="C310" s="19"/>
      <c r="D310" s="20"/>
      <c r="E310" s="20" t="s">
        <v>21</v>
      </c>
      <c r="F310" s="2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">
      <c r="A311" s="17" t="s">
        <v>756</v>
      </c>
      <c r="B311" s="98" t="s">
        <v>746</v>
      </c>
      <c r="C311" s="19"/>
      <c r="D311" s="20"/>
      <c r="E311" s="20" t="s">
        <v>9</v>
      </c>
      <c r="F311" s="2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">
      <c r="A312" s="17" t="s">
        <v>757</v>
      </c>
      <c r="B312" s="98" t="s">
        <v>747</v>
      </c>
      <c r="C312" s="19"/>
      <c r="D312" s="20"/>
      <c r="E312" s="20" t="s">
        <v>9</v>
      </c>
      <c r="F312" s="2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">
      <c r="A313" s="17" t="s">
        <v>758</v>
      </c>
      <c r="B313" s="98" t="s">
        <v>748</v>
      </c>
      <c r="C313" s="19"/>
      <c r="D313" s="20"/>
      <c r="E313" s="20" t="s">
        <v>9</v>
      </c>
      <c r="F313" s="2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">
      <c r="A314" s="17" t="s">
        <v>759</v>
      </c>
      <c r="B314" s="98" t="s">
        <v>751</v>
      </c>
      <c r="C314" s="19"/>
      <c r="D314" s="20"/>
      <c r="E314" s="20" t="s">
        <v>9</v>
      </c>
      <c r="F314" s="2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">
      <c r="A315" s="17" t="s">
        <v>760</v>
      </c>
      <c r="B315" s="98" t="s">
        <v>752</v>
      </c>
      <c r="C315" s="19"/>
      <c r="D315" s="20"/>
      <c r="E315" s="20" t="s">
        <v>9</v>
      </c>
      <c r="F315" s="2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">
      <c r="A316" s="17" t="s">
        <v>761</v>
      </c>
      <c r="B316" s="23" t="s">
        <v>584</v>
      </c>
      <c r="C316" s="19"/>
      <c r="D316" s="20"/>
      <c r="E316" s="20" t="s">
        <v>9</v>
      </c>
      <c r="F316" s="2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2.75">
      <c r="A317" s="2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2" ht="12.75">
      <c r="A318" s="2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2" ht="12.75">
      <c r="A319" s="1"/>
      <c r="B319" s="2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2.75">
      <c r="A320" s="1"/>
      <c r="B320" s="2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2.75">
      <c r="A321" s="1"/>
      <c r="B321" s="2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2.75">
      <c r="A322" s="1"/>
      <c r="B322" s="2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2.75">
      <c r="A323" s="1"/>
      <c r="B323" s="2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2.75">
      <c r="A324" s="1"/>
      <c r="B324" s="2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2.75">
      <c r="A325" s="1"/>
      <c r="B325" s="2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2.75">
      <c r="A326" s="1"/>
      <c r="B326" s="2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2.75">
      <c r="A327" s="1"/>
      <c r="B327" s="2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2.75">
      <c r="A328" s="1"/>
      <c r="B328" s="2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2.75">
      <c r="A329" s="1"/>
      <c r="B329" s="2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2.75">
      <c r="A330" s="1"/>
      <c r="B330" s="2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2.75">
      <c r="A331" s="1"/>
      <c r="B331" s="2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2.75">
      <c r="A332" s="1"/>
      <c r="B332" s="2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2.75">
      <c r="A333" s="1"/>
      <c r="B333" s="2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2.75">
      <c r="A334" s="1"/>
      <c r="B334" s="2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2.75">
      <c r="A335" s="1"/>
      <c r="B335" s="2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2.75">
      <c r="A336" s="1"/>
      <c r="B336" s="2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2.75">
      <c r="A337" s="1"/>
      <c r="B337" s="2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2.75">
      <c r="A338" s="1"/>
      <c r="B338" s="2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2.75">
      <c r="A339" s="1"/>
      <c r="B339" s="2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2.75">
      <c r="A340" s="1"/>
      <c r="B340" s="2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2.75">
      <c r="A341" s="1"/>
      <c r="B341" s="2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2.75">
      <c r="A342" s="1"/>
      <c r="B342" s="2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2.75">
      <c r="A343" s="1"/>
      <c r="B343" s="2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2.75">
      <c r="A344" s="1"/>
      <c r="B344" s="2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2.75">
      <c r="A345" s="1"/>
      <c r="B345" s="2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2.75">
      <c r="A346" s="1"/>
      <c r="B346" s="2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2.75">
      <c r="A347" s="1"/>
      <c r="B347" s="2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2.75">
      <c r="A348" s="1"/>
      <c r="B348" s="2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2.75">
      <c r="A349" s="1"/>
      <c r="B349" s="2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2.75">
      <c r="A350" s="1"/>
      <c r="B350" s="2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2.75">
      <c r="A351" s="1"/>
      <c r="B351" s="2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2.75">
      <c r="A352" s="1"/>
      <c r="B352" s="2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2.75">
      <c r="A353" s="1"/>
      <c r="B353" s="2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2.75">
      <c r="A354" s="1"/>
      <c r="B354" s="2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2.75">
      <c r="A355" s="1"/>
      <c r="B355" s="2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2.75">
      <c r="A356" s="1"/>
      <c r="B356" s="2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2.75">
      <c r="A357" s="1"/>
      <c r="B357" s="2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2.75">
      <c r="A358" s="1"/>
      <c r="B358" s="2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2.75">
      <c r="A359" s="1"/>
      <c r="B359" s="2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2.75">
      <c r="A360" s="1"/>
      <c r="B360" s="2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2.75">
      <c r="A361" s="1"/>
      <c r="B361" s="2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2.75">
      <c r="A362" s="1"/>
      <c r="B362" s="2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2.75">
      <c r="A363" s="1"/>
      <c r="B363" s="2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2.75">
      <c r="A364" s="1"/>
      <c r="B364" s="2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2.75">
      <c r="A365" s="1"/>
      <c r="B365" s="2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2.75">
      <c r="A366" s="1"/>
      <c r="B366" s="2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2.75">
      <c r="A367" s="1"/>
      <c r="B367" s="2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2.75">
      <c r="A368" s="1"/>
      <c r="B368" s="2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2.75">
      <c r="A369" s="1"/>
      <c r="B369" s="2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2.75">
      <c r="A370" s="1"/>
      <c r="B370" s="2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2.75">
      <c r="A371" s="1"/>
      <c r="B371" s="2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2.75">
      <c r="A372" s="1"/>
      <c r="B372" s="2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2.75">
      <c r="A373" s="1"/>
      <c r="B373" s="2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2.75">
      <c r="A374" s="1"/>
      <c r="B374" s="2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2.75">
      <c r="A375" s="1"/>
      <c r="B375" s="2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2.75">
      <c r="A376" s="1"/>
      <c r="B376" s="2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2.75">
      <c r="A377" s="1"/>
      <c r="B377" s="2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2.75">
      <c r="A378" s="1"/>
      <c r="B378" s="2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2.75">
      <c r="A379" s="1"/>
      <c r="B379" s="2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2.75">
      <c r="A380" s="1"/>
      <c r="B380" s="2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2.75">
      <c r="A381" s="1"/>
      <c r="B381" s="2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2.75">
      <c r="A382" s="1"/>
      <c r="B382" s="2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2.75">
      <c r="A383" s="1"/>
      <c r="B383" s="2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2.75">
      <c r="A384" s="1"/>
      <c r="B384" s="2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2.75">
      <c r="A385" s="1"/>
      <c r="B385" s="2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2.75">
      <c r="A386" s="1"/>
      <c r="B386" s="2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2.75">
      <c r="A387" s="1"/>
      <c r="B387" s="2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2.75">
      <c r="A388" s="1"/>
      <c r="B388" s="2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2.75">
      <c r="A389" s="1"/>
      <c r="B389" s="2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2.75">
      <c r="A390" s="1"/>
      <c r="B390" s="2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2.75">
      <c r="A391" s="1"/>
      <c r="B391" s="2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2.75">
      <c r="A392" s="1"/>
      <c r="B392" s="2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2.75">
      <c r="A393" s="1"/>
      <c r="B393" s="2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2.75">
      <c r="A394" s="1"/>
      <c r="B394" s="2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2.75">
      <c r="A395" s="1"/>
      <c r="B395" s="2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2.75">
      <c r="A396" s="1"/>
      <c r="B396" s="2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2.75">
      <c r="A397" s="1"/>
      <c r="B397" s="2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2.75">
      <c r="A398" s="1"/>
      <c r="B398" s="2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2.75">
      <c r="A399" s="1"/>
      <c r="B399" s="2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2.75">
      <c r="A400" s="1"/>
      <c r="B400" s="2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2.75">
      <c r="A401" s="1"/>
      <c r="B401" s="2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2.75">
      <c r="A402" s="1"/>
      <c r="B402" s="2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2.75">
      <c r="A403" s="1"/>
      <c r="B403" s="2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2.75">
      <c r="A404" s="1"/>
      <c r="B404" s="2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2.75">
      <c r="A405" s="1"/>
      <c r="B405" s="2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2.75">
      <c r="A406" s="1"/>
      <c r="B406" s="2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2.75">
      <c r="A407" s="1"/>
      <c r="B407" s="2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2.75">
      <c r="A408" s="1"/>
      <c r="B408" s="2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2.75">
      <c r="A409" s="1"/>
      <c r="B409" s="2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2.75">
      <c r="A410" s="1"/>
      <c r="B410" s="2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2.75">
      <c r="A411" s="1"/>
      <c r="B411" s="2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2.75">
      <c r="A412" s="1"/>
      <c r="B412" s="2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2.75">
      <c r="A413" s="1"/>
      <c r="B413" s="2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2.75">
      <c r="A414" s="1"/>
      <c r="B414" s="2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2.75">
      <c r="A415" s="1"/>
      <c r="B415" s="2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2.75">
      <c r="A416" s="1"/>
      <c r="B416" s="2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2.75">
      <c r="A417" s="1"/>
      <c r="B417" s="2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2.75">
      <c r="A418" s="1"/>
      <c r="B418" s="2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2.75">
      <c r="A419" s="1"/>
      <c r="B419" s="2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2.75">
      <c r="A420" s="1"/>
      <c r="B420" s="2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2.75">
      <c r="A421" s="1"/>
      <c r="B421" s="2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2.75">
      <c r="A422" s="1"/>
      <c r="B422" s="2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2.75">
      <c r="A423" s="1"/>
      <c r="B423" s="2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2.75">
      <c r="A424" s="1"/>
      <c r="B424" s="2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2.75">
      <c r="A425" s="1"/>
      <c r="B425" s="2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2.75">
      <c r="A426" s="1"/>
      <c r="B426" s="2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2.75">
      <c r="A427" s="1"/>
      <c r="B427" s="2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2.75">
      <c r="A428" s="1"/>
      <c r="B428" s="2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2.75">
      <c r="A429" s="1"/>
      <c r="B429" s="2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2.75">
      <c r="A430" s="1"/>
      <c r="B430" s="2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2.75">
      <c r="A431" s="1"/>
      <c r="B431" s="2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2.75">
      <c r="A432" s="1"/>
      <c r="B432" s="2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2.75">
      <c r="A433" s="1"/>
      <c r="B433" s="2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2.75">
      <c r="A434" s="1"/>
      <c r="B434" s="2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2.75">
      <c r="A435" s="1"/>
      <c r="B435" s="2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2.75">
      <c r="A436" s="1"/>
      <c r="B436" s="2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2.75">
      <c r="A437" s="1"/>
      <c r="B437" s="2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2.75">
      <c r="A438" s="1"/>
      <c r="B438" s="2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2.75">
      <c r="A439" s="1"/>
      <c r="B439" s="2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2.75">
      <c r="A440" s="1"/>
      <c r="B440" s="2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2.75">
      <c r="A441" s="1"/>
      <c r="B441" s="2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2.75">
      <c r="A442" s="1"/>
      <c r="B442" s="2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2.75">
      <c r="A443" s="1"/>
      <c r="B443" s="2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2.75">
      <c r="A444" s="1"/>
      <c r="B444" s="2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2.75">
      <c r="A445" s="1"/>
      <c r="B445" s="2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2.75">
      <c r="A446" s="1"/>
      <c r="B446" s="2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2.75">
      <c r="A447" s="1"/>
      <c r="B447" s="2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2.75">
      <c r="A448" s="1"/>
      <c r="B448" s="2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2.75">
      <c r="A449" s="1"/>
      <c r="B449" s="2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2.75">
      <c r="A450" s="1"/>
      <c r="B450" s="2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2.75">
      <c r="A451" s="1"/>
      <c r="B451" s="2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2.75">
      <c r="A452" s="1"/>
      <c r="B452" s="2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2.75">
      <c r="A453" s="1"/>
      <c r="B453" s="2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2.75">
      <c r="A454" s="1"/>
      <c r="B454" s="2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2.75">
      <c r="A455" s="1"/>
      <c r="B455" s="2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2.75">
      <c r="A456" s="1"/>
      <c r="B456" s="2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2.75">
      <c r="A457" s="1"/>
      <c r="B457" s="2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2.75">
      <c r="A458" s="1"/>
      <c r="B458" s="2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2.75">
      <c r="A459" s="1"/>
      <c r="B459" s="2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2.75">
      <c r="A460" s="1"/>
      <c r="B460" s="2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2.75">
      <c r="A461" s="1"/>
      <c r="B461" s="2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2.75">
      <c r="A462" s="1"/>
      <c r="B462" s="2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2.75">
      <c r="A463" s="1"/>
      <c r="B463" s="2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2.75">
      <c r="A464" s="1"/>
      <c r="B464" s="2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2.75">
      <c r="A465" s="1"/>
      <c r="B465" s="2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2.75">
      <c r="A466" s="1"/>
      <c r="B466" s="2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2.75">
      <c r="A467" s="1"/>
      <c r="B467" s="2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2.75">
      <c r="A468" s="1"/>
      <c r="B468" s="2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2.75">
      <c r="A469" s="1"/>
      <c r="B469" s="2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2.75">
      <c r="A470" s="1"/>
      <c r="B470" s="2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2.75">
      <c r="A471" s="1"/>
      <c r="B471" s="2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2.75">
      <c r="A472" s="1"/>
      <c r="B472" s="2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2.75">
      <c r="A473" s="1"/>
      <c r="B473" s="2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2.75">
      <c r="A474" s="1"/>
      <c r="B474" s="2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2.75">
      <c r="A475" s="1"/>
      <c r="B475" s="2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2.75">
      <c r="A476" s="1"/>
      <c r="B476" s="2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2.75">
      <c r="A477" s="1"/>
      <c r="B477" s="2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2.75">
      <c r="A478" s="1"/>
      <c r="B478" s="2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2.75">
      <c r="A479" s="1"/>
      <c r="B479" s="2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2.75">
      <c r="A480" s="1"/>
      <c r="B480" s="2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2.75">
      <c r="A481" s="1"/>
      <c r="B481" s="2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2.75">
      <c r="A482" s="1"/>
      <c r="B482" s="2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2.75">
      <c r="A483" s="1"/>
      <c r="B483" s="2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2.75">
      <c r="A484" s="1"/>
      <c r="B484" s="2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2.75">
      <c r="A485" s="1"/>
      <c r="B485" s="2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2.75">
      <c r="A486" s="1"/>
      <c r="B486" s="2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2.75">
      <c r="A487" s="1"/>
      <c r="B487" s="2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2.75">
      <c r="A488" s="1"/>
      <c r="B488" s="2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2.75">
      <c r="A489" s="1"/>
      <c r="B489" s="2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2.75">
      <c r="A490" s="1"/>
      <c r="B490" s="2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2.75">
      <c r="A491" s="1"/>
      <c r="B491" s="2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2.75">
      <c r="A492" s="1"/>
      <c r="B492" s="2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2.75">
      <c r="A493" s="1"/>
      <c r="B493" s="2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2.75">
      <c r="A494" s="1"/>
      <c r="B494" s="2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2.75">
      <c r="A495" s="1"/>
      <c r="B495" s="2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2.75">
      <c r="A496" s="1"/>
      <c r="B496" s="2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2.75">
      <c r="A497" s="1"/>
      <c r="B497" s="2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2.75">
      <c r="A498" s="1"/>
      <c r="B498" s="2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2.75">
      <c r="A499" s="1"/>
      <c r="B499" s="2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2.75">
      <c r="A500" s="1"/>
      <c r="B500" s="2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2.75">
      <c r="A501" s="1"/>
      <c r="B501" s="2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2.75">
      <c r="A502" s="1"/>
      <c r="B502" s="2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2.75">
      <c r="A503" s="1"/>
      <c r="B503" s="2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2.75">
      <c r="A504" s="1"/>
      <c r="B504" s="2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2.75">
      <c r="A505" s="1"/>
      <c r="B505" s="2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2.75">
      <c r="A506" s="1"/>
      <c r="B506" s="2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2.75">
      <c r="A507" s="1"/>
      <c r="B507" s="2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2.75">
      <c r="A508" s="1"/>
      <c r="B508" s="2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2.75">
      <c r="A509" s="1"/>
      <c r="B509" s="2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2.75">
      <c r="A510" s="1"/>
      <c r="B510" s="2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2.75">
      <c r="A511" s="1"/>
      <c r="B511" s="2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2.75">
      <c r="A512" s="1"/>
      <c r="B512" s="2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2.75">
      <c r="A513" s="1"/>
      <c r="B513" s="2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2.75">
      <c r="A514" s="1"/>
      <c r="B514" s="2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2.75">
      <c r="A515" s="1"/>
      <c r="B515" s="2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2.75">
      <c r="A516" s="1"/>
      <c r="B516" s="2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2.75">
      <c r="A517" s="1"/>
      <c r="B517" s="2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2.75">
      <c r="A518" s="1"/>
      <c r="B518" s="2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2.75">
      <c r="A519" s="1"/>
      <c r="B519" s="2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2.75">
      <c r="A520" s="1"/>
      <c r="B520" s="2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2.75">
      <c r="A521" s="1"/>
      <c r="B521" s="2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2.75">
      <c r="A522" s="1"/>
      <c r="B522" s="2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2.75">
      <c r="A523" s="1"/>
      <c r="B523" s="2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2.75">
      <c r="A524" s="1"/>
      <c r="B524" s="2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2.75">
      <c r="A525" s="1"/>
      <c r="B525" s="2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2.75">
      <c r="A526" s="1"/>
      <c r="B526" s="2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2.75">
      <c r="A527" s="1"/>
      <c r="B527" s="2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2.75">
      <c r="A528" s="1"/>
      <c r="B528" s="2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2.75">
      <c r="A529" s="1"/>
      <c r="B529" s="2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2.75">
      <c r="A530" s="1"/>
      <c r="B530" s="2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2.75">
      <c r="A531" s="1"/>
      <c r="B531" s="2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2.75">
      <c r="A532" s="1"/>
      <c r="B532" s="2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2.75">
      <c r="A533" s="1"/>
      <c r="B533" s="2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2.75">
      <c r="A534" s="1"/>
      <c r="B534" s="2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2.75">
      <c r="A535" s="1"/>
      <c r="B535" s="2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2.75">
      <c r="A536" s="1"/>
      <c r="B536" s="2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2.75">
      <c r="A537" s="1"/>
      <c r="B537" s="2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2.75">
      <c r="A538" s="1"/>
      <c r="B538" s="2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2.75">
      <c r="A539" s="1"/>
      <c r="B539" s="2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2.75">
      <c r="A540" s="1"/>
      <c r="B540" s="2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2.75">
      <c r="A541" s="1"/>
      <c r="B541" s="2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2.75">
      <c r="A542" s="1"/>
      <c r="B542" s="2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2.75">
      <c r="A543" s="1"/>
      <c r="B543" s="2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2.75">
      <c r="A544" s="1"/>
      <c r="B544" s="2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2.75">
      <c r="A545" s="1"/>
      <c r="B545" s="2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2.75">
      <c r="A546" s="1"/>
      <c r="B546" s="2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2.75">
      <c r="A547" s="1"/>
      <c r="B547" s="2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2.75">
      <c r="A548" s="1"/>
      <c r="B548" s="2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2.75">
      <c r="A549" s="1"/>
      <c r="B549" s="2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2.75">
      <c r="A550" s="1"/>
      <c r="B550" s="2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2.75">
      <c r="A551" s="1"/>
      <c r="B551" s="2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2.75">
      <c r="A552" s="1"/>
      <c r="B552" s="2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2.75">
      <c r="A553" s="1"/>
      <c r="B553" s="2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2.75">
      <c r="A554" s="1"/>
      <c r="B554" s="2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2.75">
      <c r="A555" s="1"/>
      <c r="B555" s="2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2.75">
      <c r="A556" s="1"/>
      <c r="B556" s="2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2.75">
      <c r="A557" s="1"/>
      <c r="B557" s="2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2.75">
      <c r="A558" s="1"/>
      <c r="B558" s="2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2.75">
      <c r="A559" s="1"/>
      <c r="B559" s="2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2.75">
      <c r="A560" s="1"/>
      <c r="B560" s="2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2.75">
      <c r="A561" s="1"/>
      <c r="B561" s="2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2.75">
      <c r="A562" s="1"/>
      <c r="B562" s="2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2.75">
      <c r="A563" s="1"/>
      <c r="B563" s="2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2.75">
      <c r="A564" s="1"/>
      <c r="B564" s="2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2.75">
      <c r="A565" s="1"/>
      <c r="B565" s="2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2.75">
      <c r="A566" s="1"/>
      <c r="B566" s="2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2.75">
      <c r="A567" s="1"/>
      <c r="B567" s="2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2.75">
      <c r="A568" s="1"/>
      <c r="B568" s="2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2.75">
      <c r="A569" s="1"/>
      <c r="B569" s="2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2.75">
      <c r="A570" s="1"/>
      <c r="B570" s="2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2.75">
      <c r="A571" s="1"/>
      <c r="B571" s="2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2.75">
      <c r="A572" s="1"/>
      <c r="B572" s="2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2.75">
      <c r="A573" s="1"/>
      <c r="B573" s="2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2.75">
      <c r="A574" s="1"/>
      <c r="B574" s="2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2.75">
      <c r="A575" s="1"/>
      <c r="B575" s="2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2.75">
      <c r="A576" s="1"/>
      <c r="B576" s="2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2.75">
      <c r="A577" s="1"/>
      <c r="B577" s="2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2.75">
      <c r="A578" s="1"/>
      <c r="B578" s="2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2.75">
      <c r="A579" s="1"/>
      <c r="B579" s="2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2.75">
      <c r="A580" s="1"/>
      <c r="B580" s="2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2.75">
      <c r="A581" s="1"/>
      <c r="B581" s="2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2.75">
      <c r="A582" s="1"/>
      <c r="B582" s="2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2.75">
      <c r="A583" s="1"/>
      <c r="B583" s="2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2.75">
      <c r="A584" s="1"/>
      <c r="B584" s="2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2.75">
      <c r="A585" s="1"/>
      <c r="B585" s="2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2.75">
      <c r="A586" s="1"/>
      <c r="B586" s="2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2.75">
      <c r="A587" s="1"/>
      <c r="B587" s="2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2.75">
      <c r="A588" s="1"/>
      <c r="B588" s="2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2.75">
      <c r="A589" s="1"/>
      <c r="B589" s="2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2.75">
      <c r="A590" s="1"/>
      <c r="B590" s="2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2.75">
      <c r="A591" s="1"/>
      <c r="B591" s="2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2.75">
      <c r="A592" s="1"/>
      <c r="B592" s="2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2.75">
      <c r="A593" s="1"/>
      <c r="B593" s="2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2.75">
      <c r="A594" s="1"/>
      <c r="B594" s="2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2.75">
      <c r="A595" s="1"/>
      <c r="B595" s="2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2.75">
      <c r="A596" s="1"/>
      <c r="B596" s="2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2.75">
      <c r="A597" s="1"/>
      <c r="B597" s="2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2.75">
      <c r="A598" s="1"/>
      <c r="B598" s="2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2.75">
      <c r="A599" s="1"/>
      <c r="B599" s="2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2.75">
      <c r="A600" s="1"/>
      <c r="B600" s="2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2.75">
      <c r="A601" s="1"/>
      <c r="B601" s="2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2.75">
      <c r="A602" s="1"/>
      <c r="B602" s="2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2.75">
      <c r="A603" s="1"/>
      <c r="B603" s="2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2.75">
      <c r="A604" s="1"/>
      <c r="B604" s="2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2.75">
      <c r="A605" s="1"/>
      <c r="B605" s="2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2.75">
      <c r="A606" s="1"/>
      <c r="B606" s="2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2.75">
      <c r="A607" s="1"/>
      <c r="B607" s="2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2.75">
      <c r="A608" s="1"/>
      <c r="B608" s="2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2.75">
      <c r="A609" s="1"/>
      <c r="B609" s="2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2.75">
      <c r="A610" s="1"/>
      <c r="B610" s="2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2.75">
      <c r="A611" s="1"/>
      <c r="B611" s="2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2.75">
      <c r="A612" s="1"/>
      <c r="B612" s="2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2.75">
      <c r="A613" s="1"/>
      <c r="B613" s="2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2.75">
      <c r="A614" s="1"/>
      <c r="B614" s="2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2.75">
      <c r="A615" s="1"/>
      <c r="B615" s="2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2.75">
      <c r="A616" s="1"/>
      <c r="B616" s="2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2.75">
      <c r="A617" s="1"/>
      <c r="B617" s="2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2.75">
      <c r="A618" s="1"/>
      <c r="B618" s="2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2.75">
      <c r="A619" s="1"/>
      <c r="B619" s="2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2.75">
      <c r="A620" s="1"/>
      <c r="B620" s="2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2.75">
      <c r="A621" s="1"/>
      <c r="B621" s="2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2.75">
      <c r="A622" s="1"/>
      <c r="B622" s="2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2.75">
      <c r="A623" s="1"/>
      <c r="B623" s="2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2.75">
      <c r="A624" s="1"/>
      <c r="B624" s="2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2.75">
      <c r="A625" s="1"/>
      <c r="B625" s="2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2.75">
      <c r="A626" s="1"/>
      <c r="B626" s="2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2.75">
      <c r="A627" s="1"/>
      <c r="B627" s="2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2.75">
      <c r="A628" s="1"/>
      <c r="B628" s="2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2.75">
      <c r="A629" s="1"/>
      <c r="B629" s="2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2.75">
      <c r="A630" s="1"/>
      <c r="B630" s="2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2.75">
      <c r="A631" s="1"/>
      <c r="B631" s="2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2.75">
      <c r="A632" s="1"/>
      <c r="B632" s="2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2.75">
      <c r="A633" s="1"/>
      <c r="B633" s="2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2.75">
      <c r="A634" s="1"/>
      <c r="B634" s="2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2.75">
      <c r="A635" s="1"/>
      <c r="B635" s="2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2.75">
      <c r="A636" s="1"/>
      <c r="B636" s="2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2.75">
      <c r="A637" s="1"/>
      <c r="B637" s="2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2.75">
      <c r="A638" s="1"/>
      <c r="B638" s="2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2.75">
      <c r="A639" s="1"/>
      <c r="B639" s="2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2.75">
      <c r="A640" s="1"/>
      <c r="B640" s="2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2.75">
      <c r="A641" s="1"/>
      <c r="B641" s="2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2.75">
      <c r="A642" s="1"/>
      <c r="B642" s="2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2.75">
      <c r="A643" s="1"/>
      <c r="B643" s="2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2.75">
      <c r="A644" s="1"/>
      <c r="B644" s="2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2.75">
      <c r="A645" s="1"/>
      <c r="B645" s="2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2.75">
      <c r="A646" s="1"/>
      <c r="B646" s="2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2.75">
      <c r="A647" s="1"/>
      <c r="B647" s="2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2.75">
      <c r="A648" s="1"/>
      <c r="B648" s="2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2.75">
      <c r="A649" s="1"/>
      <c r="B649" s="2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2.75">
      <c r="A650" s="1"/>
      <c r="B650" s="2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2.75">
      <c r="A651" s="1"/>
      <c r="B651" s="2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2.75">
      <c r="A652" s="1"/>
      <c r="B652" s="2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2.75">
      <c r="A653" s="1"/>
      <c r="B653" s="2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2.75">
      <c r="A654" s="1"/>
      <c r="B654" s="2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2.75">
      <c r="A655" s="1"/>
      <c r="B655" s="2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2.75">
      <c r="A656" s="1"/>
      <c r="B656" s="2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2.75">
      <c r="A657" s="1"/>
      <c r="B657" s="2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2.75">
      <c r="A658" s="1"/>
      <c r="B658" s="2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2.75">
      <c r="A659" s="1"/>
      <c r="B659" s="2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2.75">
      <c r="A660" s="1"/>
      <c r="B660" s="2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2.75">
      <c r="A661" s="1"/>
      <c r="B661" s="2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2.75">
      <c r="A662" s="1"/>
      <c r="B662" s="2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2.75">
      <c r="A663" s="1"/>
      <c r="B663" s="2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2.75">
      <c r="A664" s="1"/>
      <c r="B664" s="2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2.75">
      <c r="A665" s="1"/>
      <c r="B665" s="2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2.75">
      <c r="A666" s="1"/>
      <c r="B666" s="2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2.75">
      <c r="A667" s="1"/>
      <c r="B667" s="2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2.75">
      <c r="A668" s="1"/>
      <c r="B668" s="2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2.75">
      <c r="A669" s="1"/>
      <c r="B669" s="2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2.75">
      <c r="A670" s="1"/>
      <c r="B670" s="2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2.75">
      <c r="A671" s="1"/>
      <c r="B671" s="2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2.75">
      <c r="A672" s="1"/>
      <c r="B672" s="2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2.75">
      <c r="A673" s="1"/>
      <c r="B673" s="2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2.75">
      <c r="A674" s="1"/>
      <c r="B674" s="2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2.75">
      <c r="A675" s="1"/>
      <c r="B675" s="2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2.75">
      <c r="A676" s="1"/>
      <c r="B676" s="2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2.75">
      <c r="A677" s="1"/>
      <c r="B677" s="2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2.75">
      <c r="A678" s="1"/>
      <c r="B678" s="2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2.75">
      <c r="A679" s="1"/>
      <c r="B679" s="2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2.75">
      <c r="A680" s="1"/>
      <c r="B680" s="2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2.75">
      <c r="A681" s="1"/>
      <c r="B681" s="2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2.75">
      <c r="A682" s="1"/>
      <c r="B682" s="2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2.75">
      <c r="A683" s="1"/>
      <c r="B683" s="2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2.75">
      <c r="A684" s="1"/>
      <c r="B684" s="2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2.75">
      <c r="A685" s="1"/>
      <c r="B685" s="2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2.75">
      <c r="A686" s="1"/>
      <c r="B686" s="2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2.75">
      <c r="A687" s="1"/>
      <c r="B687" s="2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2.75">
      <c r="A688" s="1"/>
      <c r="B688" s="2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2.75">
      <c r="A689" s="1"/>
      <c r="B689" s="2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2.75">
      <c r="A690" s="1"/>
      <c r="B690" s="2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2.75">
      <c r="A691" s="1"/>
      <c r="B691" s="2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2.75">
      <c r="A692" s="1"/>
      <c r="B692" s="2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2.75">
      <c r="A693" s="1"/>
      <c r="B693" s="2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2.75">
      <c r="A694" s="1"/>
      <c r="B694" s="2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2.75">
      <c r="A695" s="1"/>
      <c r="B695" s="2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2.75">
      <c r="A696" s="1"/>
      <c r="B696" s="2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2.75">
      <c r="A697" s="1"/>
      <c r="B697" s="2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2.75">
      <c r="A698" s="1"/>
      <c r="B698" s="2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2.75">
      <c r="A699" s="1"/>
      <c r="B699" s="2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2.75">
      <c r="A700" s="1"/>
      <c r="B700" s="2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2.75">
      <c r="A701" s="1"/>
      <c r="B701" s="2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2.75">
      <c r="A702" s="1"/>
      <c r="B702" s="2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2.75">
      <c r="A703" s="1"/>
      <c r="B703" s="2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2.75">
      <c r="A704" s="1"/>
      <c r="B704" s="2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2.75">
      <c r="A705" s="1"/>
      <c r="B705" s="2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2.75">
      <c r="A706" s="1"/>
      <c r="B706" s="2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2.75">
      <c r="A707" s="1"/>
      <c r="B707" s="2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2.75">
      <c r="A708" s="1"/>
      <c r="B708" s="2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2.75">
      <c r="A709" s="1"/>
      <c r="B709" s="2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2.75">
      <c r="A710" s="1"/>
      <c r="B710" s="2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2.75">
      <c r="A711" s="1"/>
      <c r="B711" s="2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2.75">
      <c r="A712" s="1"/>
      <c r="B712" s="2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2.75">
      <c r="A713" s="1"/>
      <c r="B713" s="2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2.75">
      <c r="A714" s="1"/>
      <c r="B714" s="2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2.75">
      <c r="A715" s="1"/>
      <c r="B715" s="2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2.75">
      <c r="A716" s="1"/>
      <c r="B716" s="2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2.75">
      <c r="A717" s="1"/>
      <c r="B717" s="2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2.75">
      <c r="A718" s="1"/>
      <c r="B718" s="2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2.75">
      <c r="A719" s="1"/>
      <c r="B719" s="2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2.75">
      <c r="A720" s="1"/>
      <c r="B720" s="2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2.75">
      <c r="A721" s="1"/>
      <c r="B721" s="2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2.75">
      <c r="A722" s="1"/>
      <c r="B722" s="2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2.75">
      <c r="A723" s="1"/>
      <c r="B723" s="2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2.75">
      <c r="A724" s="1"/>
      <c r="B724" s="2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2.75">
      <c r="A725" s="1"/>
      <c r="B725" s="2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2.75">
      <c r="A726" s="1"/>
      <c r="B726" s="2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2.75">
      <c r="A727" s="1"/>
      <c r="B727" s="2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2.75">
      <c r="A728" s="1"/>
      <c r="B728" s="2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2.75">
      <c r="A729" s="1"/>
      <c r="B729" s="2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2.75">
      <c r="A730" s="1"/>
      <c r="B730" s="2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2.75">
      <c r="A731" s="1"/>
      <c r="B731" s="2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2.75">
      <c r="A732" s="1"/>
      <c r="B732" s="2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2.75">
      <c r="A733" s="1"/>
      <c r="B733" s="2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2.75">
      <c r="A734" s="1"/>
      <c r="B734" s="2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2.75">
      <c r="A735" s="1"/>
      <c r="B735" s="2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2.75">
      <c r="A736" s="1"/>
      <c r="B736" s="2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2.75">
      <c r="A737" s="1"/>
      <c r="B737" s="2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2.75">
      <c r="A738" s="1"/>
      <c r="B738" s="2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2.75">
      <c r="A739" s="1"/>
      <c r="B739" s="2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2.75">
      <c r="A740" s="1"/>
      <c r="B740" s="2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2.75">
      <c r="A741" s="1"/>
      <c r="B741" s="2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2.75">
      <c r="A742" s="1"/>
      <c r="B742" s="2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2.75">
      <c r="A743" s="1"/>
      <c r="B743" s="2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2.75">
      <c r="A744" s="1"/>
      <c r="B744" s="2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2.75">
      <c r="A745" s="1"/>
      <c r="B745" s="2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2.75">
      <c r="A746" s="1"/>
      <c r="B746" s="2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2.75">
      <c r="A747" s="1"/>
      <c r="B747" s="2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2.75">
      <c r="A748" s="1"/>
      <c r="B748" s="2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2.75">
      <c r="A749" s="1"/>
      <c r="B749" s="2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2.75">
      <c r="A750" s="1"/>
      <c r="B750" s="2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2.75">
      <c r="A751" s="1"/>
      <c r="B751" s="2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2.75">
      <c r="A752" s="1"/>
      <c r="B752" s="2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2.75">
      <c r="A753" s="1"/>
      <c r="B753" s="2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2.75">
      <c r="A754" s="1"/>
      <c r="B754" s="2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2.75">
      <c r="A755" s="1"/>
      <c r="B755" s="2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2.75">
      <c r="A756" s="1"/>
      <c r="B756" s="2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2.75">
      <c r="A757" s="1"/>
      <c r="B757" s="2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2.75">
      <c r="A758" s="1"/>
      <c r="B758" s="2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2.75">
      <c r="A759" s="1"/>
      <c r="B759" s="2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2.75">
      <c r="A760" s="1"/>
      <c r="B760" s="2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2.75">
      <c r="A761" s="1"/>
      <c r="B761" s="2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2.75">
      <c r="A762" s="1"/>
      <c r="B762" s="2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2.75">
      <c r="A763" s="1"/>
      <c r="B763" s="2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2.75">
      <c r="A764" s="1"/>
      <c r="B764" s="2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2.75">
      <c r="A765" s="1"/>
      <c r="B765" s="2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2.75">
      <c r="A766" s="1"/>
      <c r="B766" s="2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2.75">
      <c r="A767" s="1"/>
      <c r="B767" s="2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2.75">
      <c r="A768" s="1"/>
      <c r="B768" s="2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2.75">
      <c r="A769" s="1"/>
      <c r="B769" s="2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2.75">
      <c r="A770" s="1"/>
      <c r="B770" s="2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2.75">
      <c r="A771" s="1"/>
      <c r="B771" s="2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2.75">
      <c r="A772" s="1"/>
      <c r="B772" s="2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2.75">
      <c r="A773" s="1"/>
      <c r="B773" s="2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2.75">
      <c r="A774" s="1"/>
      <c r="B774" s="2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2.75">
      <c r="A775" s="1"/>
      <c r="B775" s="2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2.75">
      <c r="A776" s="1"/>
      <c r="B776" s="2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2.75">
      <c r="A777" s="1"/>
      <c r="B777" s="2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2.75">
      <c r="A778" s="1"/>
      <c r="B778" s="2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2.75">
      <c r="A779" s="1"/>
      <c r="B779" s="2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2.75">
      <c r="A780" s="1"/>
      <c r="B780" s="2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2.75">
      <c r="A781" s="1"/>
      <c r="B781" s="2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2.75">
      <c r="A782" s="1"/>
      <c r="B782" s="2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2.75">
      <c r="A783" s="1"/>
      <c r="B783" s="2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2.75">
      <c r="A784" s="1"/>
      <c r="B784" s="2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2.75">
      <c r="A785" s="1"/>
      <c r="B785" s="2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2.75">
      <c r="A786" s="1"/>
      <c r="B786" s="2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2.75">
      <c r="A787" s="1"/>
      <c r="B787" s="2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2.75">
      <c r="A788" s="1"/>
      <c r="B788" s="2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2.75">
      <c r="A789" s="1"/>
      <c r="B789" s="2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2.75">
      <c r="A790" s="1"/>
      <c r="B790" s="2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2.75">
      <c r="A791" s="1"/>
      <c r="B791" s="2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2.75">
      <c r="A792" s="1"/>
      <c r="B792" s="2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2.75">
      <c r="A793" s="1"/>
      <c r="B793" s="2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2.75">
      <c r="A794" s="1"/>
      <c r="B794" s="2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2.75">
      <c r="A795" s="1"/>
      <c r="B795" s="2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2.75">
      <c r="A796" s="1"/>
      <c r="B796" s="2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2.75">
      <c r="A797" s="1"/>
      <c r="B797" s="2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2.75">
      <c r="A798" s="1"/>
      <c r="B798" s="2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2.75">
      <c r="A799" s="1"/>
      <c r="B799" s="2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2.75">
      <c r="A800" s="1"/>
      <c r="B800" s="2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2.75">
      <c r="A801" s="1"/>
      <c r="B801" s="2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2.75">
      <c r="A802" s="1"/>
      <c r="B802" s="2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2.75">
      <c r="A803" s="1"/>
      <c r="B803" s="2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2.75">
      <c r="A804" s="1"/>
      <c r="B804" s="2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2.75">
      <c r="A805" s="1"/>
      <c r="B805" s="2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2.75">
      <c r="A806" s="1"/>
      <c r="B806" s="2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2.75">
      <c r="A807" s="1"/>
      <c r="B807" s="2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2.75">
      <c r="A808" s="1"/>
      <c r="B808" s="2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2.75">
      <c r="A809" s="1"/>
      <c r="B809" s="2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2.75">
      <c r="A810" s="1"/>
      <c r="B810" s="2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2.75">
      <c r="A811" s="1"/>
      <c r="B811" s="2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2.75">
      <c r="A812" s="1"/>
      <c r="B812" s="2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2.75">
      <c r="A813" s="1"/>
      <c r="B813" s="2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2.75">
      <c r="A814" s="1"/>
      <c r="B814" s="2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2.75">
      <c r="A815" s="1"/>
      <c r="B815" s="2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2.75">
      <c r="A816" s="1"/>
      <c r="B816" s="2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2.75">
      <c r="A817" s="1"/>
      <c r="B817" s="2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2.75">
      <c r="A818" s="1"/>
      <c r="B818" s="2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2.75">
      <c r="A819" s="1"/>
      <c r="B819" s="2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2.75">
      <c r="A820" s="1"/>
      <c r="B820" s="2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2.75">
      <c r="A821" s="1"/>
      <c r="B821" s="2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2.75">
      <c r="A822" s="1"/>
      <c r="B822" s="2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2.75">
      <c r="A823" s="1"/>
      <c r="B823" s="2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2.75">
      <c r="A824" s="1"/>
      <c r="B824" s="2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2.75">
      <c r="A825" s="1"/>
      <c r="B825" s="2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2.75">
      <c r="A826" s="1"/>
      <c r="B826" s="2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2.75">
      <c r="A827" s="1"/>
      <c r="B827" s="2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2.75">
      <c r="A828" s="1"/>
      <c r="B828" s="2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2.75">
      <c r="A829" s="1"/>
      <c r="B829" s="2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2.75">
      <c r="A830" s="1"/>
      <c r="B830" s="2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2.75">
      <c r="A831" s="1"/>
      <c r="B831" s="2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2.75">
      <c r="A832" s="1"/>
      <c r="B832" s="2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2.75">
      <c r="A833" s="1"/>
      <c r="B833" s="2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2.75">
      <c r="A834" s="1"/>
      <c r="B834" s="2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2.75">
      <c r="A835" s="1"/>
      <c r="B835" s="2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2.75">
      <c r="A836" s="1"/>
      <c r="B836" s="2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2.75">
      <c r="A837" s="1"/>
      <c r="B837" s="2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2.75">
      <c r="A838" s="1"/>
      <c r="B838" s="2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2.75">
      <c r="A839" s="1"/>
      <c r="B839" s="2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2.75">
      <c r="A840" s="1"/>
      <c r="B840" s="2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2.75">
      <c r="A841" s="1"/>
      <c r="B841" s="2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2.75">
      <c r="A842" s="1"/>
      <c r="B842" s="2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2.75">
      <c r="A843" s="1"/>
      <c r="B843" s="2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2.75">
      <c r="A844" s="1"/>
      <c r="B844" s="2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2.75">
      <c r="A845" s="1"/>
      <c r="B845" s="2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2.75">
      <c r="A846" s="1"/>
      <c r="B846" s="2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2.75">
      <c r="A847" s="1"/>
      <c r="B847" s="2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2.75">
      <c r="A848" s="1"/>
      <c r="B848" s="2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2.75">
      <c r="A849" s="1"/>
      <c r="B849" s="2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2.75">
      <c r="A850" s="1"/>
      <c r="B850" s="2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2.75">
      <c r="A851" s="1"/>
      <c r="B851" s="2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2.75">
      <c r="A852" s="1"/>
      <c r="B852" s="2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2.75">
      <c r="A853" s="1"/>
      <c r="B853" s="2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2.75">
      <c r="A854" s="1"/>
      <c r="B854" s="2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2.75">
      <c r="A855" s="1"/>
      <c r="B855" s="2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2.75">
      <c r="A856" s="1"/>
      <c r="B856" s="2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2.75">
      <c r="A857" s="1"/>
      <c r="B857" s="2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2.75">
      <c r="A858" s="1"/>
      <c r="B858" s="2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2.75">
      <c r="A859" s="1"/>
      <c r="B859" s="2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2.75">
      <c r="A860" s="1"/>
      <c r="B860" s="2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2.75">
      <c r="A861" s="1"/>
      <c r="B861" s="2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2.75">
      <c r="A862" s="1"/>
      <c r="B862" s="2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2.75">
      <c r="A863" s="1"/>
      <c r="B863" s="2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2.75">
      <c r="A864" s="1"/>
      <c r="B864" s="2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2.75">
      <c r="A865" s="1"/>
      <c r="B865" s="2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2.75">
      <c r="A866" s="1"/>
      <c r="B866" s="2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2.75">
      <c r="A867" s="1"/>
      <c r="B867" s="2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2.75">
      <c r="A868" s="1"/>
      <c r="B868" s="2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2.75">
      <c r="A869" s="1"/>
      <c r="B869" s="2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2.75">
      <c r="A870" s="1"/>
      <c r="B870" s="2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2.75">
      <c r="A871" s="1"/>
      <c r="B871" s="2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2.75">
      <c r="A872" s="1"/>
      <c r="B872" s="2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2.75">
      <c r="A873" s="1"/>
      <c r="B873" s="2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2.75">
      <c r="A874" s="1"/>
      <c r="B874" s="2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2.75">
      <c r="A875" s="1"/>
      <c r="B875" s="2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2.75">
      <c r="A876" s="1"/>
      <c r="B876" s="2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2.75">
      <c r="A877" s="1"/>
      <c r="B877" s="2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2.75">
      <c r="A878" s="1"/>
      <c r="B878" s="2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2.75">
      <c r="A879" s="1"/>
      <c r="B879" s="2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2.75">
      <c r="A880" s="1"/>
      <c r="B880" s="2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2.75">
      <c r="A881" s="1"/>
      <c r="B881" s="2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2.75">
      <c r="A882" s="1"/>
      <c r="B882" s="2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2.75">
      <c r="A883" s="1"/>
      <c r="B883" s="2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2.75">
      <c r="A884" s="1"/>
      <c r="B884" s="2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2.75">
      <c r="A885" s="1"/>
      <c r="B885" s="2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2.75">
      <c r="A886" s="1"/>
      <c r="B886" s="2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2.75">
      <c r="A887" s="1"/>
      <c r="B887" s="2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2.75">
      <c r="A888" s="1"/>
      <c r="B888" s="2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2.75">
      <c r="A889" s="1"/>
      <c r="B889" s="2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2.75">
      <c r="A890" s="1"/>
      <c r="B890" s="2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2.75">
      <c r="A891" s="1"/>
      <c r="B891" s="2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2.75">
      <c r="A892" s="1"/>
      <c r="B892" s="2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2.75">
      <c r="A893" s="1"/>
      <c r="B893" s="2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2.75">
      <c r="A894" s="1"/>
      <c r="B894" s="2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2.75">
      <c r="A895" s="1"/>
      <c r="B895" s="2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2.75">
      <c r="A896" s="1"/>
      <c r="B896" s="2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2.75">
      <c r="A897" s="1"/>
      <c r="B897" s="2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2.75">
      <c r="A898" s="1"/>
      <c r="B898" s="2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2.75">
      <c r="A899" s="1"/>
      <c r="B899" s="2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2.75">
      <c r="A900" s="1"/>
      <c r="B900" s="2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2.75">
      <c r="A901" s="1"/>
      <c r="B901" s="2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2.75">
      <c r="A902" s="1"/>
      <c r="B902" s="2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2.75">
      <c r="A903" s="1"/>
      <c r="B903" s="2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2.75">
      <c r="A904" s="1"/>
      <c r="B904" s="2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2.75">
      <c r="A905" s="1"/>
      <c r="B905" s="2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2.75">
      <c r="A906" s="1"/>
      <c r="B906" s="2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2.75">
      <c r="A907" s="1"/>
      <c r="B907" s="2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2.75">
      <c r="A908" s="1"/>
      <c r="B908" s="2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2.75">
      <c r="A909" s="1"/>
      <c r="B909" s="2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2.75">
      <c r="A910" s="1"/>
      <c r="B910" s="2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2.75">
      <c r="A911" s="1"/>
      <c r="B911" s="2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2.75">
      <c r="A912" s="1"/>
      <c r="B912" s="2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2.75">
      <c r="A913" s="1"/>
      <c r="B913" s="2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2.75">
      <c r="A914" s="1"/>
      <c r="B914" s="2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2.75">
      <c r="A915" s="1"/>
      <c r="B915" s="2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2.75">
      <c r="A916" s="1"/>
      <c r="B916" s="2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2.75">
      <c r="A917" s="1"/>
      <c r="B917" s="2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2.75">
      <c r="A918" s="1"/>
      <c r="B918" s="2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2.75">
      <c r="A919" s="1"/>
      <c r="B919" s="2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2.75">
      <c r="A920" s="1"/>
      <c r="B920" s="2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2.75">
      <c r="A921" s="1"/>
      <c r="B921" s="2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2.75">
      <c r="A922" s="1"/>
      <c r="B922" s="2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2.75">
      <c r="A923" s="1"/>
      <c r="B923" s="2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2.75">
      <c r="A924" s="1"/>
      <c r="B924" s="2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2.75">
      <c r="A925" s="1"/>
      <c r="B925" s="2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2.75">
      <c r="A926" s="1"/>
      <c r="B926" s="2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2.75">
      <c r="A927" s="1"/>
      <c r="B927" s="2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2.75">
      <c r="A928" s="1"/>
      <c r="B928" s="2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2.75">
      <c r="A929" s="1"/>
      <c r="B929" s="2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2.75">
      <c r="A930" s="1"/>
      <c r="B930" s="2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2.75">
      <c r="A931" s="1"/>
      <c r="B931" s="2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2.75">
      <c r="A932" s="1"/>
      <c r="B932" s="2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2.75">
      <c r="A933" s="1"/>
      <c r="B933" s="2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2.75">
      <c r="A934" s="1"/>
      <c r="B934" s="2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2.75">
      <c r="A935" s="1"/>
      <c r="B935" s="2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2.75">
      <c r="A936" s="1"/>
      <c r="B936" s="2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2.75">
      <c r="A937" s="1"/>
      <c r="B937" s="2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2.75">
      <c r="A938" s="1"/>
      <c r="B938" s="2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2.75">
      <c r="A939" s="1"/>
      <c r="B939" s="2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2.75">
      <c r="A940" s="1"/>
      <c r="B940" s="2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2.75">
      <c r="A941" s="1"/>
      <c r="B941" s="2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2.75">
      <c r="A942" s="1"/>
      <c r="B942" s="2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2.75">
      <c r="A943" s="1"/>
      <c r="B943" s="2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2.75">
      <c r="A944" s="1"/>
      <c r="B944" s="2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2.75">
      <c r="A945" s="1"/>
      <c r="B945" s="2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2.75">
      <c r="A946" s="1"/>
      <c r="B946" s="2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2.75">
      <c r="A947" s="1"/>
      <c r="B947" s="2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2.75">
      <c r="A948" s="1"/>
      <c r="B948" s="2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2.75">
      <c r="A949" s="1"/>
      <c r="B949" s="2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2.75">
      <c r="A950" s="1"/>
      <c r="B950" s="2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2.75">
      <c r="A951" s="1"/>
      <c r="B951" s="2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2.75">
      <c r="A952" s="1"/>
      <c r="B952" s="2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2.75">
      <c r="A953" s="1"/>
      <c r="B953" s="2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2.75">
      <c r="A954" s="1"/>
      <c r="B954" s="2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2.75">
      <c r="B955" s="25"/>
    </row>
    <row r="956" spans="1:22" ht="12.75">
      <c r="B956" s="25"/>
    </row>
    <row r="957" spans="1:22" ht="12.75">
      <c r="B957" s="25"/>
    </row>
    <row r="958" spans="1:22" ht="12.75">
      <c r="B958" s="25"/>
    </row>
    <row r="959" spans="1:22" ht="12.75">
      <c r="B959" s="25"/>
    </row>
    <row r="960" spans="1:22" ht="12.75">
      <c r="B960" s="25"/>
    </row>
    <row r="961" spans="2:2" ht="12.75">
      <c r="B961" s="25"/>
    </row>
    <row r="962" spans="2:2" ht="12.75">
      <c r="B962" s="25"/>
    </row>
    <row r="963" spans="2:2" ht="12.75">
      <c r="B963" s="25"/>
    </row>
    <row r="964" spans="2:2" ht="12.75">
      <c r="B964" s="25"/>
    </row>
    <row r="965" spans="2:2" ht="12.75">
      <c r="B965" s="25"/>
    </row>
    <row r="966" spans="2:2" ht="12.75">
      <c r="B966" s="25"/>
    </row>
    <row r="967" spans="2:2" ht="12.75">
      <c r="B967" s="25"/>
    </row>
    <row r="968" spans="2:2" ht="12.75">
      <c r="B968" s="25"/>
    </row>
    <row r="969" spans="2:2" ht="12.75">
      <c r="B969" s="25"/>
    </row>
    <row r="970" spans="2:2" ht="12.75">
      <c r="B970" s="25"/>
    </row>
    <row r="971" spans="2:2" ht="12.75">
      <c r="B971" s="25"/>
    </row>
    <row r="972" spans="2:2" ht="12.75">
      <c r="B972" s="25"/>
    </row>
    <row r="973" spans="2:2" ht="12.75">
      <c r="B973" s="25"/>
    </row>
    <row r="974" spans="2:2" ht="12.75">
      <c r="B974" s="25"/>
    </row>
    <row r="975" spans="2:2" ht="12.75">
      <c r="B975" s="25"/>
    </row>
    <row r="976" spans="2:2" ht="12.75">
      <c r="B976" s="25"/>
    </row>
    <row r="977" spans="2:2" ht="12.75">
      <c r="B977" s="25"/>
    </row>
    <row r="978" spans="2:2" ht="12.75">
      <c r="B978" s="25"/>
    </row>
    <row r="979" spans="2:2" ht="12.75">
      <c r="B979" s="25"/>
    </row>
    <row r="980" spans="2:2" ht="12.75">
      <c r="B980" s="25"/>
    </row>
    <row r="981" spans="2:2" ht="12.75">
      <c r="B981" s="25"/>
    </row>
    <row r="982" spans="2:2" ht="12.75">
      <c r="B982" s="25"/>
    </row>
    <row r="983" spans="2:2" ht="12.75">
      <c r="B983" s="25"/>
    </row>
    <row r="984" spans="2:2" ht="12.75">
      <c r="B984" s="25"/>
    </row>
    <row r="985" spans="2:2" ht="12.75">
      <c r="B985" s="25"/>
    </row>
    <row r="986" spans="2:2" ht="12.75">
      <c r="B986" s="25"/>
    </row>
    <row r="987" spans="2:2" ht="12.75">
      <c r="B987" s="25"/>
    </row>
    <row r="988" spans="2:2" ht="12.75">
      <c r="B988" s="25"/>
    </row>
    <row r="989" spans="2:2" ht="12.75">
      <c r="B989" s="25"/>
    </row>
    <row r="990" spans="2:2" ht="12.75">
      <c r="B990" s="25"/>
    </row>
    <row r="991" spans="2:2" ht="12.75">
      <c r="B991" s="25"/>
    </row>
    <row r="992" spans="2:2" ht="12.75">
      <c r="B992" s="25"/>
    </row>
    <row r="993" spans="2:2" ht="12.75">
      <c r="B993" s="25"/>
    </row>
    <row r="994" spans="2:2" ht="12.75">
      <c r="B994" s="25"/>
    </row>
    <row r="995" spans="2:2" ht="12.75">
      <c r="B995" s="25"/>
    </row>
    <row r="996" spans="2:2" ht="12.75">
      <c r="B996" s="25"/>
    </row>
    <row r="997" spans="2:2" ht="12.75">
      <c r="B997" s="25"/>
    </row>
    <row r="998" spans="2:2" ht="12.75">
      <c r="B998" s="25"/>
    </row>
    <row r="999" spans="2:2" ht="12.75">
      <c r="B999" s="25"/>
    </row>
    <row r="1000" spans="2:2" ht="12.75">
      <c r="B1000" s="25"/>
    </row>
    <row r="1001" spans="2:2" ht="12.75">
      <c r="B1001" s="25"/>
    </row>
    <row r="1002" spans="2:2" ht="12.75">
      <c r="B1002" s="25"/>
    </row>
    <row r="1003" spans="2:2" ht="12.75">
      <c r="B1003" s="25"/>
    </row>
    <row r="1004" spans="2:2" ht="12.75">
      <c r="B1004" s="25"/>
    </row>
    <row r="1005" spans="2:2" ht="12.75">
      <c r="B1005" s="25"/>
    </row>
    <row r="1006" spans="2:2" ht="12.75">
      <c r="B1006" s="25"/>
    </row>
    <row r="1007" spans="2:2" ht="12.75">
      <c r="B1007" s="25"/>
    </row>
    <row r="1008" spans="2:2" ht="12.75">
      <c r="B1008" s="25"/>
    </row>
    <row r="1009" spans="2:2" ht="12.75">
      <c r="B1009" s="25"/>
    </row>
    <row r="1010" spans="2:2" ht="12.75">
      <c r="B1010" s="25"/>
    </row>
    <row r="1011" spans="2:2" ht="12.75">
      <c r="B1011" s="25"/>
    </row>
    <row r="1012" spans="2:2" ht="12.75">
      <c r="B1012" s="25"/>
    </row>
    <row r="1013" spans="2:2" ht="12.75">
      <c r="B1013" s="25"/>
    </row>
    <row r="1014" spans="2:2" ht="12.75">
      <c r="B1014" s="25"/>
    </row>
    <row r="1015" spans="2:2" ht="12.75">
      <c r="B1015" s="25"/>
    </row>
    <row r="1016" spans="2:2" ht="12.75">
      <c r="B1016" s="25"/>
    </row>
    <row r="1017" spans="2:2" ht="12.75">
      <c r="B1017" s="25"/>
    </row>
    <row r="1018" spans="2:2" ht="12.75">
      <c r="B1018" s="25"/>
    </row>
    <row r="1019" spans="2:2" ht="12.75">
      <c r="B1019" s="25"/>
    </row>
    <row r="1020" spans="2:2" ht="12.75">
      <c r="B1020" s="25"/>
    </row>
    <row r="1021" spans="2:2" ht="12.75">
      <c r="B1021" s="25"/>
    </row>
    <row r="1022" spans="2:2" ht="12.75">
      <c r="B1022" s="25"/>
    </row>
    <row r="1023" spans="2:2" ht="12.75">
      <c r="B1023" s="25"/>
    </row>
    <row r="1024" spans="2:2" ht="12.75">
      <c r="B1024" s="25"/>
    </row>
    <row r="1025" spans="2:2" ht="12.75">
      <c r="B1025" s="25"/>
    </row>
    <row r="1026" spans="2:2" ht="12.75">
      <c r="B1026" s="25"/>
    </row>
    <row r="1027" spans="2:2" ht="12.75">
      <c r="B1027" s="25"/>
    </row>
    <row r="1028" spans="2:2" ht="12.75">
      <c r="B1028" s="25"/>
    </row>
    <row r="1029" spans="2:2" ht="12.75">
      <c r="B1029" s="25"/>
    </row>
    <row r="1030" spans="2:2" ht="12.75">
      <c r="B1030" s="25"/>
    </row>
    <row r="1031" spans="2:2" ht="12.75">
      <c r="B1031" s="25"/>
    </row>
    <row r="1032" spans="2:2" ht="12.75">
      <c r="B1032" s="25"/>
    </row>
    <row r="1033" spans="2:2" ht="12.75">
      <c r="B1033" s="25"/>
    </row>
    <row r="1034" spans="2:2" ht="12.75">
      <c r="B1034" s="25"/>
    </row>
    <row r="1035" spans="2:2" ht="12.75">
      <c r="B1035" s="25"/>
    </row>
    <row r="1036" spans="2:2" ht="12.75">
      <c r="B1036" s="25"/>
    </row>
    <row r="1037" spans="2:2" ht="12.75">
      <c r="B1037" s="25"/>
    </row>
    <row r="1038" spans="2:2" ht="12.75">
      <c r="B1038" s="25"/>
    </row>
    <row r="1039" spans="2:2" ht="12.75">
      <c r="B1039" s="25"/>
    </row>
    <row r="1040" spans="2:2" ht="12.75">
      <c r="B1040" s="25"/>
    </row>
    <row r="1041" spans="2:2" ht="12.75">
      <c r="B1041" s="25"/>
    </row>
    <row r="1042" spans="2:2" ht="12.75">
      <c r="B1042" s="25"/>
    </row>
    <row r="1043" spans="2:2" ht="12.75">
      <c r="B1043" s="25"/>
    </row>
    <row r="1044" spans="2:2" ht="12.75">
      <c r="B1044" s="25"/>
    </row>
    <row r="1045" spans="2:2" ht="12.75">
      <c r="B1045" s="25"/>
    </row>
    <row r="1046" spans="2:2" ht="12.75">
      <c r="B1046" s="25"/>
    </row>
    <row r="1047" spans="2:2" ht="12.75">
      <c r="B1047" s="25"/>
    </row>
    <row r="1048" spans="2:2" ht="12.75">
      <c r="B1048" s="25"/>
    </row>
    <row r="1049" spans="2:2" ht="12.75">
      <c r="B1049" s="25"/>
    </row>
    <row r="1050" spans="2:2" ht="12.75">
      <c r="B1050" s="25"/>
    </row>
    <row r="1051" spans="2:2" ht="12.75">
      <c r="B1051" s="25"/>
    </row>
    <row r="1052" spans="2:2" ht="12.75">
      <c r="B1052" s="25"/>
    </row>
    <row r="1053" spans="2:2" ht="12.75">
      <c r="B1053" s="25"/>
    </row>
    <row r="1054" spans="2:2" ht="12.75">
      <c r="B1054" s="25"/>
    </row>
    <row r="1055" spans="2:2" ht="12.75">
      <c r="B1055" s="25"/>
    </row>
    <row r="1056" spans="2:2" ht="12.75">
      <c r="B1056" s="25"/>
    </row>
    <row r="1057" spans="2:2" ht="12.75">
      <c r="B1057" s="25"/>
    </row>
    <row r="1058" spans="2:2" ht="12.75">
      <c r="B1058" s="25"/>
    </row>
    <row r="1059" spans="2:2" ht="12.75">
      <c r="B1059" s="25"/>
    </row>
    <row r="1060" spans="2:2" ht="12.75">
      <c r="B1060" s="25"/>
    </row>
    <row r="1061" spans="2:2" ht="12.75">
      <c r="B1061" s="25"/>
    </row>
    <row r="1062" spans="2:2" ht="12.75">
      <c r="B1062" s="25"/>
    </row>
    <row r="1063" spans="2:2" ht="12.75">
      <c r="B1063" s="25"/>
    </row>
    <row r="1064" spans="2:2" ht="12.75">
      <c r="B1064" s="25"/>
    </row>
    <row r="1065" spans="2:2" ht="12.75">
      <c r="B1065" s="25"/>
    </row>
    <row r="1066" spans="2:2" ht="12.75">
      <c r="B1066" s="25"/>
    </row>
    <row r="1067" spans="2:2" ht="12.75">
      <c r="B1067" s="25"/>
    </row>
    <row r="1068" spans="2:2" ht="12.75">
      <c r="B1068" s="25"/>
    </row>
    <row r="1069" spans="2:2" ht="12.75">
      <c r="B1069" s="25"/>
    </row>
    <row r="1070" spans="2:2" ht="12.75">
      <c r="B1070" s="25"/>
    </row>
    <row r="1071" spans="2:2" ht="12.75">
      <c r="B1071" s="25"/>
    </row>
    <row r="1072" spans="2:2" ht="12.75">
      <c r="B1072" s="25"/>
    </row>
    <row r="1073" spans="2:2" ht="12.75">
      <c r="B1073" s="25"/>
    </row>
    <row r="1074" spans="2:2" ht="12.75">
      <c r="B1074" s="25"/>
    </row>
    <row r="1075" spans="2:2" ht="12.75">
      <c r="B1075" s="25"/>
    </row>
    <row r="1076" spans="2:2" ht="12.75">
      <c r="B1076" s="25"/>
    </row>
    <row r="1077" spans="2:2" ht="12.75">
      <c r="B1077" s="25"/>
    </row>
    <row r="1078" spans="2:2" ht="12.75">
      <c r="B1078" s="25"/>
    </row>
    <row r="1079" spans="2:2" ht="12.75">
      <c r="B1079" s="25"/>
    </row>
    <row r="1080" spans="2:2" ht="12.75">
      <c r="B1080" s="25"/>
    </row>
    <row r="1081" spans="2:2" ht="12.75">
      <c r="B1081" s="25"/>
    </row>
    <row r="1082" spans="2:2" ht="12.75">
      <c r="B1082" s="25"/>
    </row>
    <row r="1083" spans="2:2" ht="12.75">
      <c r="B1083" s="25"/>
    </row>
    <row r="1084" spans="2:2" ht="12.75">
      <c r="B1084" s="25"/>
    </row>
    <row r="1085" spans="2:2" ht="12.75">
      <c r="B1085" s="25"/>
    </row>
    <row r="1086" spans="2:2" ht="12.75">
      <c r="B1086" s="25"/>
    </row>
    <row r="1087" spans="2:2" ht="12.75">
      <c r="B1087" s="25"/>
    </row>
    <row r="1088" spans="2:2" ht="12.75">
      <c r="B1088" s="25"/>
    </row>
    <row r="1089" spans="2:2" ht="12.75">
      <c r="B1089" s="25"/>
    </row>
    <row r="1090" spans="2:2" ht="12.75">
      <c r="B1090" s="25"/>
    </row>
    <row r="1091" spans="2:2" ht="12.75">
      <c r="B1091" s="25"/>
    </row>
    <row r="1092" spans="2:2" ht="12.75">
      <c r="B1092" s="25"/>
    </row>
    <row r="1093" spans="2:2" ht="12.75">
      <c r="B1093" s="25"/>
    </row>
    <row r="1094" spans="2:2" ht="12.75">
      <c r="B1094" s="25"/>
    </row>
    <row r="1095" spans="2:2" ht="12.75">
      <c r="B1095" s="25"/>
    </row>
    <row r="1096" spans="2:2" ht="12.75">
      <c r="B1096" s="25"/>
    </row>
    <row r="1097" spans="2:2" ht="12.75">
      <c r="B1097" s="25"/>
    </row>
    <row r="1098" spans="2:2" ht="12.75">
      <c r="B1098" s="25"/>
    </row>
    <row r="1099" spans="2:2" ht="12.75">
      <c r="B1099" s="25"/>
    </row>
    <row r="1100" spans="2:2" ht="12.75">
      <c r="B1100" s="25"/>
    </row>
    <row r="1101" spans="2:2" ht="12.75">
      <c r="B1101" s="25"/>
    </row>
    <row r="1102" spans="2:2" ht="12.75">
      <c r="B1102" s="25"/>
    </row>
    <row r="1103" spans="2:2" ht="12.75">
      <c r="B1103" s="25"/>
    </row>
    <row r="1104" spans="2:2" ht="12.75">
      <c r="B1104" s="25"/>
    </row>
    <row r="1105" spans="2:2" ht="12.75">
      <c r="B1105" s="25"/>
    </row>
    <row r="1106" spans="2:2" ht="12.75">
      <c r="B1106" s="25"/>
    </row>
    <row r="1107" spans="2:2" ht="12.75">
      <c r="B1107" s="25"/>
    </row>
    <row r="1108" spans="2:2" ht="12.75">
      <c r="B1108" s="25"/>
    </row>
    <row r="1109" spans="2:2" ht="12.75">
      <c r="B1109" s="25"/>
    </row>
    <row r="1110" spans="2:2" ht="12.75">
      <c r="B1110" s="25"/>
    </row>
    <row r="1111" spans="2:2" ht="12.75">
      <c r="B1111" s="25"/>
    </row>
    <row r="1112" spans="2:2" ht="12.75">
      <c r="B1112" s="25"/>
    </row>
    <row r="1113" spans="2:2" ht="12.75">
      <c r="B1113" s="25"/>
    </row>
    <row r="1114" spans="2:2" ht="12.75">
      <c r="B1114" s="25"/>
    </row>
    <row r="1115" spans="2:2" ht="12.75">
      <c r="B1115" s="25"/>
    </row>
    <row r="1116" spans="2:2" ht="12.75">
      <c r="B1116" s="25"/>
    </row>
    <row r="1117" spans="2:2" ht="12.75">
      <c r="B1117" s="25"/>
    </row>
    <row r="1118" spans="2:2" ht="12.75">
      <c r="B1118" s="25"/>
    </row>
    <row r="1119" spans="2:2" ht="12.75">
      <c r="B1119" s="25"/>
    </row>
    <row r="1120" spans="2:2" ht="12.75">
      <c r="B1120" s="25"/>
    </row>
    <row r="1121" spans="2:2" ht="12.75">
      <c r="B1121" s="25"/>
    </row>
    <row r="1122" spans="2:2" ht="12.75">
      <c r="B1122" s="25"/>
    </row>
  </sheetData>
  <mergeCells count="4">
    <mergeCell ref="A1:A2"/>
    <mergeCell ref="B1:B2"/>
    <mergeCell ref="C1:E1"/>
    <mergeCell ref="F1:F2"/>
  </mergeCells>
  <phoneticPr fontId="2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0000000}">
          <x14:formula1>
            <xm:f>Data!$A$3:$A$16</xm:f>
          </x14:formula1>
          <xm:sqref>C3:C316</xm:sqref>
        </x14:dataValidation>
        <x14:dataValidation type="list" allowBlank="1" showErrorMessage="1" xr:uid="{00000000-0002-0000-0100-000001000000}">
          <x14:formula1>
            <xm:f>Data!$E$2:$E$9</xm:f>
          </x14:formula1>
          <xm:sqref>E3:E316</xm:sqref>
        </x14:dataValidation>
        <x14:dataValidation type="list" allowBlank="1" showErrorMessage="1" xr:uid="{00000000-0002-0000-0100-000002000000}">
          <x14:formula1>
            <xm:f>Data!$I$2:$I$18</xm:f>
          </x14:formula1>
          <xm:sqref>F3:F316</xm:sqref>
        </x14:dataValidation>
        <x14:dataValidation type="list" allowBlank="1" showErrorMessage="1" xr:uid="{00000000-0002-0000-0100-000003000000}">
          <x14:formula1>
            <xm:f>Data!$C$3:$C$16</xm:f>
          </x14:formula1>
          <xm:sqref>D3:D316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15"/>
  <sheetViews>
    <sheetView workbookViewId="0">
      <selection activeCell="G21" sqref="G21"/>
    </sheetView>
  </sheetViews>
  <sheetFormatPr defaultColWidth="12.5703125" defaultRowHeight="15.75" customHeight="1"/>
  <cols>
    <col min="1" max="1" width="34" customWidth="1"/>
    <col min="2" max="2" width="20.85546875" customWidth="1"/>
    <col min="3" max="3" width="17.7109375" customWidth="1"/>
    <col min="4" max="4" width="21.140625" customWidth="1"/>
    <col min="5" max="5" width="12.42578125" customWidth="1"/>
    <col min="6" max="6" width="10.7109375" customWidth="1"/>
    <col min="7" max="7" width="16.140625" customWidth="1"/>
    <col min="8" max="8" width="12.140625" customWidth="1"/>
  </cols>
  <sheetData>
    <row r="1" spans="1:9" ht="15.75" customHeight="1">
      <c r="A1" s="64" t="s">
        <v>376</v>
      </c>
      <c r="B1" s="64" t="s">
        <v>4</v>
      </c>
      <c r="C1" s="64" t="s">
        <v>1</v>
      </c>
      <c r="D1" s="64" t="s">
        <v>377</v>
      </c>
      <c r="E1" s="64" t="s">
        <v>378</v>
      </c>
      <c r="F1" s="64" t="s">
        <v>379</v>
      </c>
      <c r="G1" s="64" t="s">
        <v>380</v>
      </c>
      <c r="H1" s="64" t="s">
        <v>381</v>
      </c>
      <c r="I1" s="64" t="s">
        <v>382</v>
      </c>
    </row>
    <row r="2" spans="1:9" ht="14.25">
      <c r="A2" s="65" t="s">
        <v>674</v>
      </c>
      <c r="B2" s="66" t="s">
        <v>18</v>
      </c>
      <c r="C2" s="67" t="s">
        <v>15</v>
      </c>
      <c r="D2" s="68" t="s">
        <v>20</v>
      </c>
      <c r="E2" s="69">
        <v>3400</v>
      </c>
      <c r="F2" s="70"/>
      <c r="G2" s="71">
        <v>46176</v>
      </c>
      <c r="H2" s="72" t="s">
        <v>15</v>
      </c>
      <c r="I2" s="70" t="s">
        <v>14</v>
      </c>
    </row>
    <row r="3" spans="1:9" ht="14.25">
      <c r="A3" s="65" t="s">
        <v>672</v>
      </c>
      <c r="B3" s="66" t="s">
        <v>18</v>
      </c>
      <c r="C3" s="67" t="s">
        <v>15</v>
      </c>
      <c r="D3" s="68" t="s">
        <v>20</v>
      </c>
      <c r="E3" s="69">
        <v>3400</v>
      </c>
      <c r="F3" s="70"/>
      <c r="G3" s="71">
        <v>46177</v>
      </c>
      <c r="H3" s="72" t="s">
        <v>15</v>
      </c>
      <c r="I3" s="70" t="s">
        <v>14</v>
      </c>
    </row>
    <row r="4" spans="1:9" ht="14.25">
      <c r="A4" s="65" t="s">
        <v>567</v>
      </c>
      <c r="B4" s="66" t="s">
        <v>27</v>
      </c>
      <c r="C4" s="67" t="s">
        <v>15</v>
      </c>
      <c r="D4" s="68" t="s">
        <v>20</v>
      </c>
      <c r="E4" s="69">
        <v>3400</v>
      </c>
      <c r="F4" s="70"/>
      <c r="G4" s="71">
        <v>46177</v>
      </c>
      <c r="H4" s="72" t="s">
        <v>15</v>
      </c>
      <c r="I4" s="70" t="s">
        <v>14</v>
      </c>
    </row>
    <row r="5" spans="1:9" ht="14.25">
      <c r="A5" s="65" t="s">
        <v>608</v>
      </c>
      <c r="B5" s="66" t="s">
        <v>23</v>
      </c>
      <c r="C5" s="67" t="s">
        <v>15</v>
      </c>
      <c r="D5" s="68" t="s">
        <v>20</v>
      </c>
      <c r="E5" s="69">
        <v>3400</v>
      </c>
      <c r="F5" s="70"/>
      <c r="G5" s="71">
        <v>46177</v>
      </c>
      <c r="H5" s="72" t="s">
        <v>15</v>
      </c>
      <c r="I5" s="70" t="s">
        <v>14</v>
      </c>
    </row>
    <row r="6" spans="1:9" ht="14.25">
      <c r="A6" s="65" t="s">
        <v>570</v>
      </c>
      <c r="B6" s="66" t="s">
        <v>23</v>
      </c>
      <c r="C6" s="67" t="s">
        <v>15</v>
      </c>
      <c r="D6" s="68" t="s">
        <v>13</v>
      </c>
      <c r="E6" s="69">
        <v>1800</v>
      </c>
      <c r="F6" s="70"/>
      <c r="G6" s="71">
        <v>46178</v>
      </c>
      <c r="H6" s="72" t="s">
        <v>15</v>
      </c>
      <c r="I6" s="70" t="s">
        <v>14</v>
      </c>
    </row>
    <row r="7" spans="1:9" ht="14.25">
      <c r="A7" s="65" t="s">
        <v>559</v>
      </c>
      <c r="B7" s="66" t="s">
        <v>18</v>
      </c>
      <c r="C7" s="67" t="s">
        <v>15</v>
      </c>
      <c r="D7" s="68" t="s">
        <v>13</v>
      </c>
      <c r="E7" s="69">
        <v>1800</v>
      </c>
      <c r="F7" s="70"/>
      <c r="G7" s="71">
        <v>46179</v>
      </c>
      <c r="H7" s="72" t="s">
        <v>15</v>
      </c>
      <c r="I7" s="70" t="s">
        <v>14</v>
      </c>
    </row>
    <row r="8" spans="1:9" ht="14.25">
      <c r="A8" s="65" t="s">
        <v>356</v>
      </c>
      <c r="B8" s="66" t="s">
        <v>33</v>
      </c>
      <c r="C8" s="67" t="s">
        <v>9</v>
      </c>
      <c r="D8" s="68" t="s">
        <v>13</v>
      </c>
      <c r="E8" s="69">
        <v>1800</v>
      </c>
      <c r="F8" s="70"/>
      <c r="G8" s="71">
        <v>46179</v>
      </c>
      <c r="H8" s="72" t="s">
        <v>15</v>
      </c>
      <c r="I8" s="70" t="s">
        <v>8</v>
      </c>
    </row>
    <row r="9" spans="1:9" ht="14.25">
      <c r="A9" s="65" t="s">
        <v>705</v>
      </c>
      <c r="B9" s="66" t="s">
        <v>18</v>
      </c>
      <c r="C9" s="67" t="s">
        <v>15</v>
      </c>
      <c r="D9" s="68" t="s">
        <v>13</v>
      </c>
      <c r="E9" s="69">
        <v>1800</v>
      </c>
      <c r="F9" s="70"/>
      <c r="G9" s="71">
        <v>46179</v>
      </c>
      <c r="H9" s="72" t="s">
        <v>15</v>
      </c>
      <c r="I9" s="70" t="s">
        <v>8</v>
      </c>
    </row>
    <row r="10" spans="1:9" ht="14.25">
      <c r="A10" s="65" t="s">
        <v>473</v>
      </c>
      <c r="B10" s="66" t="s">
        <v>27</v>
      </c>
      <c r="C10" s="67" t="s">
        <v>15</v>
      </c>
      <c r="D10" s="68" t="s">
        <v>43</v>
      </c>
      <c r="E10" s="69">
        <v>500</v>
      </c>
      <c r="F10" s="70"/>
      <c r="G10" s="71">
        <v>46181</v>
      </c>
      <c r="H10" s="72" t="s">
        <v>15</v>
      </c>
      <c r="I10" s="70" t="s">
        <v>14</v>
      </c>
    </row>
    <row r="11" spans="1:9" ht="14.25">
      <c r="A11" s="65" t="s">
        <v>366</v>
      </c>
      <c r="B11" s="66" t="s">
        <v>35</v>
      </c>
      <c r="C11" s="67" t="s">
        <v>15</v>
      </c>
      <c r="D11" s="68" t="s">
        <v>13</v>
      </c>
      <c r="E11" s="69">
        <v>1800</v>
      </c>
      <c r="F11" s="70"/>
      <c r="G11" s="71">
        <v>46183</v>
      </c>
      <c r="H11" s="72" t="s">
        <v>15</v>
      </c>
      <c r="I11" s="70" t="s">
        <v>14</v>
      </c>
    </row>
    <row r="12" spans="1:9" ht="14.25">
      <c r="A12" s="65" t="s">
        <v>610</v>
      </c>
      <c r="B12" s="66" t="s">
        <v>23</v>
      </c>
      <c r="C12" s="67" t="s">
        <v>15</v>
      </c>
      <c r="D12" s="68" t="s">
        <v>13</v>
      </c>
      <c r="E12" s="69">
        <v>1800</v>
      </c>
      <c r="F12" s="70"/>
      <c r="G12" s="71">
        <v>46183</v>
      </c>
      <c r="H12" s="72" t="s">
        <v>15</v>
      </c>
      <c r="I12" s="70" t="s">
        <v>8</v>
      </c>
    </row>
    <row r="13" spans="1:9" ht="14.25">
      <c r="A13" s="65" t="s">
        <v>707</v>
      </c>
      <c r="B13" s="66" t="s">
        <v>18</v>
      </c>
      <c r="C13" s="67" t="s">
        <v>15</v>
      </c>
      <c r="D13" s="68" t="s">
        <v>41</v>
      </c>
      <c r="E13" s="69">
        <v>700</v>
      </c>
      <c r="F13" s="70">
        <v>100</v>
      </c>
      <c r="G13" s="71">
        <v>46187</v>
      </c>
      <c r="H13" s="72" t="s">
        <v>15</v>
      </c>
      <c r="I13" s="70" t="s">
        <v>8</v>
      </c>
    </row>
    <row r="14" spans="1:9" ht="14.25">
      <c r="A14" s="65" t="s">
        <v>473</v>
      </c>
      <c r="B14" s="66" t="s">
        <v>27</v>
      </c>
      <c r="C14" s="67" t="s">
        <v>15</v>
      </c>
      <c r="D14" s="68" t="s">
        <v>43</v>
      </c>
      <c r="E14" s="69">
        <v>500</v>
      </c>
      <c r="F14" s="70"/>
      <c r="G14" s="71">
        <v>46187</v>
      </c>
      <c r="H14" s="72" t="s">
        <v>15</v>
      </c>
      <c r="I14" s="70" t="s">
        <v>14</v>
      </c>
    </row>
    <row r="15" spans="1:9" ht="14.25">
      <c r="A15" s="65" t="s">
        <v>332</v>
      </c>
      <c r="B15" s="66" t="s">
        <v>31</v>
      </c>
      <c r="C15" s="67" t="s">
        <v>15</v>
      </c>
      <c r="D15" s="68" t="s">
        <v>43</v>
      </c>
      <c r="E15" s="69">
        <v>500</v>
      </c>
      <c r="F15" s="70"/>
      <c r="G15" s="71">
        <v>46187</v>
      </c>
      <c r="H15" s="72" t="s">
        <v>15</v>
      </c>
      <c r="I15" s="70" t="s">
        <v>14</v>
      </c>
    </row>
    <row r="16" spans="1:9" ht="14.25">
      <c r="A16" s="65" t="s">
        <v>707</v>
      </c>
      <c r="B16" s="66" t="s">
        <v>18</v>
      </c>
      <c r="C16" s="67" t="s">
        <v>15</v>
      </c>
      <c r="D16" s="68" t="s">
        <v>43</v>
      </c>
      <c r="E16" s="69">
        <v>500</v>
      </c>
      <c r="F16" s="70"/>
      <c r="G16" s="71">
        <v>46190</v>
      </c>
      <c r="H16" s="72" t="s">
        <v>15</v>
      </c>
      <c r="I16" s="70" t="s">
        <v>8</v>
      </c>
    </row>
    <row r="17" spans="1:9" ht="14.25">
      <c r="A17" s="65" t="s">
        <v>707</v>
      </c>
      <c r="B17" s="66" t="s">
        <v>18</v>
      </c>
      <c r="C17" s="67" t="s">
        <v>15</v>
      </c>
      <c r="D17" s="68" t="s">
        <v>43</v>
      </c>
      <c r="E17" s="69">
        <v>500</v>
      </c>
      <c r="F17" s="70"/>
      <c r="G17" s="71">
        <v>46174</v>
      </c>
      <c r="H17" s="72" t="s">
        <v>15</v>
      </c>
      <c r="I17" s="70" t="s">
        <v>8</v>
      </c>
    </row>
    <row r="18" spans="1:9" ht="14.25">
      <c r="A18" s="65" t="s">
        <v>707</v>
      </c>
      <c r="B18" s="66" t="s">
        <v>18</v>
      </c>
      <c r="C18" s="67" t="s">
        <v>15</v>
      </c>
      <c r="D18" s="68" t="s">
        <v>43</v>
      </c>
      <c r="E18" s="69">
        <v>500</v>
      </c>
      <c r="F18" s="70"/>
      <c r="G18" s="71">
        <v>46197</v>
      </c>
      <c r="H18" s="72" t="s">
        <v>15</v>
      </c>
      <c r="I18" s="70" t="s">
        <v>8</v>
      </c>
    </row>
    <row r="19" spans="1:9" ht="14.25">
      <c r="A19" s="65" t="s">
        <v>704</v>
      </c>
      <c r="B19" s="66" t="s">
        <v>27</v>
      </c>
      <c r="C19" s="67" t="s">
        <v>15</v>
      </c>
      <c r="D19" s="68" t="s">
        <v>43</v>
      </c>
      <c r="E19" s="69">
        <v>500</v>
      </c>
      <c r="F19" s="70"/>
      <c r="G19" s="71">
        <v>46202</v>
      </c>
      <c r="H19" s="72" t="s">
        <v>15</v>
      </c>
      <c r="I19" s="122" t="s">
        <v>14</v>
      </c>
    </row>
    <row r="20" spans="1:9" ht="14.25">
      <c r="A20" s="65" t="s">
        <v>704</v>
      </c>
      <c r="B20" s="66" t="s">
        <v>27</v>
      </c>
      <c r="C20" s="67" t="s">
        <v>15</v>
      </c>
      <c r="D20" s="68" t="s">
        <v>43</v>
      </c>
      <c r="E20" s="69">
        <v>500</v>
      </c>
      <c r="F20" s="70"/>
      <c r="G20" s="71">
        <v>46202</v>
      </c>
      <c r="H20" s="72" t="s">
        <v>15</v>
      </c>
      <c r="I20" s="122" t="s">
        <v>14</v>
      </c>
    </row>
    <row r="21" spans="1:9" ht="14.25">
      <c r="A21" s="65"/>
      <c r="B21" s="66"/>
      <c r="C21" s="67"/>
      <c r="D21" s="68"/>
      <c r="E21" s="69"/>
      <c r="F21" s="70"/>
      <c r="G21" s="71"/>
      <c r="H21" s="72"/>
      <c r="I21" s="70"/>
    </row>
    <row r="22" spans="1:9" ht="14.25">
      <c r="A22" s="65"/>
      <c r="B22" s="66"/>
      <c r="C22" s="67"/>
      <c r="D22" s="68"/>
      <c r="E22" s="69"/>
      <c r="F22" s="70"/>
      <c r="G22" s="71"/>
      <c r="H22" s="72"/>
      <c r="I22" s="70"/>
    </row>
    <row r="23" spans="1:9" ht="14.25">
      <c r="A23" s="65"/>
      <c r="B23" s="66"/>
      <c r="C23" s="67"/>
      <c r="D23" s="68"/>
      <c r="E23" s="69"/>
      <c r="F23" s="70"/>
      <c r="G23" s="71"/>
      <c r="H23" s="72"/>
      <c r="I23" s="70"/>
    </row>
    <row r="24" spans="1:9" ht="14.25">
      <c r="A24" s="65"/>
      <c r="B24" s="66"/>
      <c r="C24" s="67"/>
      <c r="D24" s="68"/>
      <c r="E24" s="69"/>
      <c r="F24" s="70"/>
      <c r="G24" s="71"/>
      <c r="H24" s="72"/>
      <c r="I24" s="70"/>
    </row>
    <row r="25" spans="1:9" ht="14.25">
      <c r="A25" s="65"/>
      <c r="B25" s="66"/>
      <c r="C25" s="67"/>
      <c r="D25" s="68"/>
      <c r="E25" s="69"/>
      <c r="F25" s="70"/>
      <c r="G25" s="71"/>
      <c r="H25" s="72"/>
      <c r="I25" s="70"/>
    </row>
    <row r="26" spans="1:9" ht="14.25">
      <c r="A26" s="65"/>
      <c r="B26" s="66"/>
      <c r="C26" s="67"/>
      <c r="D26" s="68"/>
      <c r="E26" s="69"/>
      <c r="F26" s="70"/>
      <c r="G26" s="71"/>
      <c r="H26" s="72"/>
      <c r="I26" s="70"/>
    </row>
    <row r="27" spans="1:9" ht="14.25">
      <c r="A27" s="65"/>
      <c r="B27" s="66"/>
      <c r="C27" s="67"/>
      <c r="D27" s="68"/>
      <c r="E27" s="69"/>
      <c r="F27" s="70"/>
      <c r="G27" s="71"/>
      <c r="H27" s="72"/>
      <c r="I27" s="70"/>
    </row>
    <row r="28" spans="1:9" ht="14.25">
      <c r="A28" s="65"/>
      <c r="B28" s="66"/>
      <c r="C28" s="67"/>
      <c r="D28" s="68"/>
      <c r="E28" s="69"/>
      <c r="F28" s="70"/>
      <c r="G28" s="71"/>
      <c r="H28" s="72"/>
      <c r="I28" s="70"/>
    </row>
    <row r="29" spans="1:9" ht="14.25">
      <c r="A29" s="65"/>
      <c r="B29" s="66"/>
      <c r="C29" s="67"/>
      <c r="D29" s="68"/>
      <c r="E29" s="69"/>
      <c r="F29" s="70"/>
      <c r="G29" s="71"/>
      <c r="H29" s="72"/>
      <c r="I29" s="70"/>
    </row>
    <row r="30" spans="1:9" ht="14.25">
      <c r="A30" s="65"/>
      <c r="B30" s="66"/>
      <c r="C30" s="67"/>
      <c r="D30" s="68"/>
      <c r="E30" s="69"/>
      <c r="F30" s="70"/>
      <c r="G30" s="71"/>
      <c r="H30" s="72"/>
      <c r="I30" s="70"/>
    </row>
    <row r="31" spans="1:9" ht="14.25">
      <c r="A31" s="65"/>
      <c r="B31" s="66"/>
      <c r="C31" s="67"/>
      <c r="D31" s="68"/>
      <c r="E31" s="69"/>
      <c r="F31" s="70"/>
      <c r="G31" s="71"/>
      <c r="H31" s="72"/>
      <c r="I31" s="70"/>
    </row>
    <row r="32" spans="1:9" ht="14.25">
      <c r="A32" s="65"/>
      <c r="B32" s="66"/>
      <c r="C32" s="67"/>
      <c r="D32" s="68"/>
      <c r="E32" s="69"/>
      <c r="F32" s="70"/>
      <c r="G32" s="71"/>
      <c r="H32" s="72"/>
      <c r="I32" s="70"/>
    </row>
    <row r="33" spans="1:9" ht="14.25">
      <c r="A33" s="65"/>
      <c r="B33" s="66"/>
      <c r="C33" s="67"/>
      <c r="D33" s="68"/>
      <c r="E33" s="69"/>
      <c r="F33" s="70"/>
      <c r="G33" s="71"/>
      <c r="H33" s="72"/>
      <c r="I33" s="70"/>
    </row>
    <row r="34" spans="1:9" ht="14.25">
      <c r="A34" s="65"/>
      <c r="B34" s="66"/>
      <c r="C34" s="67"/>
      <c r="D34" s="68"/>
      <c r="E34" s="69"/>
      <c r="F34" s="70"/>
      <c r="G34" s="71"/>
      <c r="H34" s="72"/>
      <c r="I34" s="70"/>
    </row>
    <row r="35" spans="1:9" ht="14.25">
      <c r="A35" s="65"/>
      <c r="B35" s="66"/>
      <c r="C35" s="67"/>
      <c r="D35" s="68"/>
      <c r="E35" s="69"/>
      <c r="F35" s="70"/>
      <c r="G35" s="71"/>
      <c r="H35" s="72"/>
      <c r="I35" s="70"/>
    </row>
    <row r="36" spans="1:9" ht="14.25">
      <c r="A36" s="65"/>
      <c r="B36" s="66"/>
      <c r="C36" s="67"/>
      <c r="D36" s="68"/>
      <c r="E36" s="69"/>
      <c r="F36" s="70"/>
      <c r="G36" s="71"/>
      <c r="H36" s="72"/>
      <c r="I36" s="70"/>
    </row>
    <row r="37" spans="1:9" ht="14.25">
      <c r="A37" s="65"/>
      <c r="B37" s="66"/>
      <c r="C37" s="67"/>
      <c r="D37" s="68"/>
      <c r="E37" s="69"/>
      <c r="F37" s="70"/>
      <c r="G37" s="71"/>
      <c r="H37" s="72"/>
      <c r="I37" s="70"/>
    </row>
    <row r="38" spans="1:9" ht="14.25">
      <c r="A38" s="65"/>
      <c r="B38" s="66"/>
      <c r="C38" s="67"/>
      <c r="D38" s="68"/>
      <c r="E38" s="69"/>
      <c r="F38" s="70"/>
      <c r="G38" s="71"/>
      <c r="H38" s="72"/>
      <c r="I38" s="70"/>
    </row>
    <row r="39" spans="1:9" ht="14.25">
      <c r="A39" s="65"/>
      <c r="B39" s="66"/>
      <c r="C39" s="67"/>
      <c r="D39" s="68"/>
      <c r="E39" s="69"/>
      <c r="F39" s="70"/>
      <c r="G39" s="71"/>
      <c r="H39" s="72"/>
      <c r="I39" s="70"/>
    </row>
    <row r="40" spans="1:9" ht="14.25">
      <c r="A40" s="65"/>
      <c r="B40" s="66"/>
      <c r="C40" s="67"/>
      <c r="D40" s="68"/>
      <c r="E40" s="69"/>
      <c r="F40" s="70"/>
      <c r="G40" s="71"/>
      <c r="H40" s="72"/>
      <c r="I40" s="70"/>
    </row>
    <row r="41" spans="1:9" ht="14.25">
      <c r="A41" s="65"/>
      <c r="B41" s="66"/>
      <c r="C41" s="67"/>
      <c r="D41" s="68"/>
      <c r="E41" s="69"/>
      <c r="F41" s="70"/>
      <c r="G41" s="71"/>
      <c r="H41" s="72"/>
      <c r="I41" s="70"/>
    </row>
    <row r="42" spans="1:9" ht="14.25">
      <c r="A42" s="65"/>
      <c r="B42" s="66"/>
      <c r="C42" s="67"/>
      <c r="D42" s="68"/>
      <c r="E42" s="69"/>
      <c r="F42" s="70"/>
      <c r="G42" s="71"/>
      <c r="H42" s="72"/>
      <c r="I42" s="70"/>
    </row>
    <row r="43" spans="1:9" ht="14.25">
      <c r="A43" s="65"/>
      <c r="B43" s="66"/>
      <c r="C43" s="67"/>
      <c r="D43" s="68"/>
      <c r="E43" s="69"/>
      <c r="F43" s="70"/>
      <c r="G43" s="71"/>
      <c r="H43" s="72"/>
      <c r="I43" s="70"/>
    </row>
    <row r="44" spans="1:9" ht="14.25">
      <c r="A44" s="65"/>
      <c r="B44" s="66"/>
      <c r="C44" s="67"/>
      <c r="D44" s="68"/>
      <c r="E44" s="69"/>
      <c r="F44" s="70"/>
      <c r="G44" s="71"/>
      <c r="H44" s="72"/>
      <c r="I44" s="70"/>
    </row>
    <row r="45" spans="1:9" ht="14.25">
      <c r="A45" s="65"/>
      <c r="B45" s="66"/>
      <c r="C45" s="67"/>
      <c r="D45" s="68"/>
      <c r="E45" s="69"/>
      <c r="F45" s="70"/>
      <c r="G45" s="71"/>
      <c r="H45" s="72"/>
      <c r="I45" s="70"/>
    </row>
    <row r="46" spans="1:9" ht="14.25">
      <c r="A46" s="65"/>
      <c r="B46" s="66"/>
      <c r="C46" s="67"/>
      <c r="D46" s="68"/>
      <c r="E46" s="69"/>
      <c r="F46" s="70"/>
      <c r="G46" s="71"/>
      <c r="H46" s="72"/>
      <c r="I46" s="70"/>
    </row>
    <row r="47" spans="1:9" ht="14.25">
      <c r="A47" s="65"/>
      <c r="B47" s="66"/>
      <c r="C47" s="67"/>
      <c r="D47" s="68"/>
      <c r="E47" s="69"/>
      <c r="F47" s="70"/>
      <c r="G47" s="71"/>
      <c r="H47" s="72"/>
      <c r="I47" s="70"/>
    </row>
    <row r="48" spans="1:9" ht="14.25">
      <c r="A48" s="65"/>
      <c r="B48" s="66"/>
      <c r="C48" s="67"/>
      <c r="D48" s="68"/>
      <c r="E48" s="69"/>
      <c r="F48" s="70"/>
      <c r="G48" s="71"/>
      <c r="H48" s="72"/>
      <c r="I48" s="70"/>
    </row>
    <row r="49" spans="1:9" ht="14.25">
      <c r="A49" s="65"/>
      <c r="B49" s="66"/>
      <c r="C49" s="67"/>
      <c r="D49" s="68"/>
      <c r="E49" s="69"/>
      <c r="F49" s="70"/>
      <c r="G49" s="71"/>
      <c r="H49" s="72"/>
      <c r="I49" s="70"/>
    </row>
    <row r="50" spans="1:9" ht="14.25">
      <c r="A50" s="65"/>
      <c r="B50" s="66"/>
      <c r="C50" s="67"/>
      <c r="D50" s="68"/>
      <c r="E50" s="69"/>
      <c r="F50" s="70"/>
      <c r="G50" s="71"/>
      <c r="H50" s="72"/>
      <c r="I50" s="70"/>
    </row>
    <row r="51" spans="1:9" ht="14.25">
      <c r="A51" s="65"/>
      <c r="B51" s="66"/>
      <c r="C51" s="67"/>
      <c r="D51" s="68"/>
      <c r="E51" s="69"/>
      <c r="F51" s="70"/>
      <c r="G51" s="71"/>
      <c r="H51" s="72"/>
      <c r="I51" s="70"/>
    </row>
    <row r="52" spans="1:9" ht="14.25">
      <c r="A52" s="65"/>
      <c r="B52" s="66"/>
      <c r="C52" s="67"/>
      <c r="D52" s="68"/>
      <c r="E52" s="69"/>
      <c r="F52" s="70"/>
      <c r="G52" s="71"/>
      <c r="H52" s="72"/>
      <c r="I52" s="70"/>
    </row>
    <row r="53" spans="1:9" ht="14.25">
      <c r="A53" s="65"/>
      <c r="B53" s="66"/>
      <c r="C53" s="67"/>
      <c r="D53" s="68"/>
      <c r="E53" s="69"/>
      <c r="F53" s="70"/>
      <c r="G53" s="71"/>
      <c r="H53" s="72"/>
      <c r="I53" s="70"/>
    </row>
    <row r="54" spans="1:9" ht="14.25">
      <c r="A54" s="65"/>
      <c r="B54" s="66"/>
      <c r="C54" s="67"/>
      <c r="D54" s="68"/>
      <c r="E54" s="69"/>
      <c r="F54" s="70"/>
      <c r="G54" s="71"/>
      <c r="H54" s="72"/>
      <c r="I54" s="70"/>
    </row>
    <row r="55" spans="1:9" ht="14.25">
      <c r="A55" s="65"/>
      <c r="B55" s="66"/>
      <c r="C55" s="67"/>
      <c r="D55" s="68"/>
      <c r="E55" s="69"/>
      <c r="F55" s="70"/>
      <c r="G55" s="71"/>
      <c r="H55" s="72"/>
      <c r="I55" s="70"/>
    </row>
    <row r="56" spans="1:9" ht="14.25">
      <c r="A56" s="65"/>
      <c r="B56" s="66"/>
      <c r="C56" s="67"/>
      <c r="D56" s="68"/>
      <c r="E56" s="69"/>
      <c r="F56" s="70"/>
      <c r="G56" s="71"/>
      <c r="H56" s="72"/>
      <c r="I56" s="70"/>
    </row>
    <row r="57" spans="1:9" ht="14.25">
      <c r="A57" s="65"/>
      <c r="B57" s="66"/>
      <c r="C57" s="67"/>
      <c r="D57" s="68"/>
      <c r="E57" s="69"/>
      <c r="F57" s="70"/>
      <c r="G57" s="71"/>
      <c r="H57" s="72"/>
      <c r="I57" s="70"/>
    </row>
    <row r="58" spans="1:9" ht="14.25">
      <c r="A58" s="73"/>
      <c r="B58" s="66"/>
      <c r="C58" s="67"/>
      <c r="D58" s="68"/>
      <c r="E58" s="69"/>
      <c r="F58" s="70"/>
      <c r="G58" s="71"/>
      <c r="H58" s="72"/>
      <c r="I58" s="70"/>
    </row>
    <row r="59" spans="1:9" ht="14.25">
      <c r="A59" s="73"/>
      <c r="B59" s="66"/>
      <c r="C59" s="67"/>
      <c r="D59" s="68"/>
      <c r="E59" s="69"/>
      <c r="F59" s="70"/>
      <c r="G59" s="71"/>
      <c r="H59" s="72"/>
      <c r="I59" s="70"/>
    </row>
    <row r="60" spans="1:9" ht="14.25">
      <c r="A60" s="73"/>
      <c r="B60" s="66"/>
      <c r="C60" s="67"/>
      <c r="D60" s="68"/>
      <c r="E60" s="69"/>
      <c r="F60" s="70"/>
      <c r="G60" s="71"/>
      <c r="H60" s="72"/>
      <c r="I60" s="70"/>
    </row>
    <row r="61" spans="1:9" ht="14.25">
      <c r="A61" s="73"/>
      <c r="B61" s="66"/>
      <c r="C61" s="67"/>
      <c r="D61" s="68"/>
      <c r="E61" s="69"/>
      <c r="F61" s="70"/>
      <c r="G61" s="71"/>
      <c r="H61" s="72"/>
      <c r="I61" s="70"/>
    </row>
    <row r="62" spans="1:9" ht="14.25">
      <c r="A62" s="73"/>
      <c r="B62" s="66"/>
      <c r="C62" s="67"/>
      <c r="D62" s="68"/>
      <c r="E62" s="69"/>
      <c r="F62" s="70"/>
      <c r="G62" s="71"/>
      <c r="H62" s="72"/>
      <c r="I62" s="70"/>
    </row>
    <row r="63" spans="1:9" ht="14.25">
      <c r="A63" s="73"/>
      <c r="B63" s="66"/>
      <c r="C63" s="67"/>
      <c r="D63" s="68"/>
      <c r="E63" s="69"/>
      <c r="F63" s="70"/>
      <c r="G63" s="71"/>
      <c r="H63" s="72"/>
      <c r="I63" s="70"/>
    </row>
    <row r="64" spans="1:9" ht="14.25">
      <c r="A64" s="73"/>
      <c r="B64" s="66"/>
      <c r="C64" s="67"/>
      <c r="D64" s="68"/>
      <c r="E64" s="69"/>
      <c r="F64" s="70"/>
      <c r="G64" s="71"/>
      <c r="H64" s="72"/>
      <c r="I64" s="70"/>
    </row>
    <row r="65" spans="1:9" ht="14.25">
      <c r="A65" s="73"/>
      <c r="B65" s="66"/>
      <c r="C65" s="67"/>
      <c r="D65" s="68"/>
      <c r="E65" s="69"/>
      <c r="F65" s="70"/>
      <c r="G65" s="71"/>
      <c r="H65" s="72"/>
      <c r="I65" s="70"/>
    </row>
    <row r="66" spans="1:9" ht="14.25">
      <c r="A66" s="73"/>
      <c r="B66" s="66"/>
      <c r="C66" s="67"/>
      <c r="D66" s="68"/>
      <c r="E66" s="69"/>
      <c r="F66" s="70"/>
      <c r="G66" s="71"/>
      <c r="H66" s="72"/>
      <c r="I66" s="70"/>
    </row>
    <row r="67" spans="1:9" ht="14.25">
      <c r="A67" s="73"/>
      <c r="B67" s="66"/>
      <c r="C67" s="67"/>
      <c r="D67" s="68"/>
      <c r="E67" s="69"/>
      <c r="F67" s="70"/>
      <c r="G67" s="71"/>
      <c r="H67" s="72"/>
      <c r="I67" s="70"/>
    </row>
    <row r="68" spans="1:9" ht="14.25">
      <c r="A68" s="73"/>
      <c r="B68" s="66"/>
      <c r="C68" s="67"/>
      <c r="D68" s="68"/>
      <c r="E68" s="69"/>
      <c r="F68" s="70"/>
      <c r="G68" s="71"/>
      <c r="H68" s="72"/>
      <c r="I68" s="70"/>
    </row>
    <row r="69" spans="1:9" ht="14.25">
      <c r="A69" s="73"/>
      <c r="B69" s="66"/>
      <c r="C69" s="67"/>
      <c r="D69" s="68"/>
      <c r="E69" s="69"/>
      <c r="F69" s="70"/>
      <c r="G69" s="71"/>
      <c r="H69" s="72"/>
      <c r="I69" s="70"/>
    </row>
    <row r="70" spans="1:9" ht="14.25">
      <c r="A70" s="73"/>
      <c r="B70" s="66"/>
      <c r="C70" s="67"/>
      <c r="D70" s="68"/>
      <c r="E70" s="69"/>
      <c r="F70" s="70"/>
      <c r="G70" s="71"/>
      <c r="H70" s="72"/>
      <c r="I70" s="70"/>
    </row>
    <row r="71" spans="1:9" ht="14.25">
      <c r="A71" s="73"/>
      <c r="B71" s="66"/>
      <c r="C71" s="67"/>
      <c r="D71" s="68"/>
      <c r="E71" s="69"/>
      <c r="F71" s="70"/>
      <c r="G71" s="71"/>
      <c r="H71" s="72"/>
      <c r="I71" s="70"/>
    </row>
    <row r="72" spans="1:9" ht="14.25">
      <c r="A72" s="73"/>
      <c r="B72" s="66"/>
      <c r="C72" s="67"/>
      <c r="D72" s="68"/>
      <c r="E72" s="69"/>
      <c r="F72" s="70"/>
      <c r="G72" s="71"/>
      <c r="H72" s="72"/>
      <c r="I72" s="70"/>
    </row>
    <row r="73" spans="1:9" ht="14.25">
      <c r="A73" s="73"/>
      <c r="B73" s="66"/>
      <c r="C73" s="67"/>
      <c r="D73" s="68"/>
      <c r="E73" s="69"/>
      <c r="F73" s="70"/>
      <c r="G73" s="71"/>
      <c r="H73" s="72"/>
      <c r="I73" s="70"/>
    </row>
    <row r="74" spans="1:9" ht="14.25">
      <c r="A74" s="73"/>
      <c r="B74" s="66"/>
      <c r="C74" s="67"/>
      <c r="D74" s="68"/>
      <c r="E74" s="69"/>
      <c r="F74" s="70"/>
      <c r="G74" s="71"/>
      <c r="H74" s="72"/>
      <c r="I74" s="70"/>
    </row>
    <row r="75" spans="1:9" ht="14.25">
      <c r="A75" s="73"/>
      <c r="B75" s="66"/>
      <c r="C75" s="67"/>
      <c r="D75" s="68"/>
      <c r="E75" s="69"/>
      <c r="F75" s="70"/>
      <c r="G75" s="71"/>
      <c r="H75" s="72"/>
      <c r="I75" s="70"/>
    </row>
    <row r="76" spans="1:9" ht="14.25">
      <c r="A76" s="73"/>
      <c r="B76" s="66"/>
      <c r="C76" s="67"/>
      <c r="D76" s="68"/>
      <c r="E76" s="69"/>
      <c r="F76" s="70"/>
      <c r="G76" s="71"/>
      <c r="H76" s="72"/>
      <c r="I76" s="70"/>
    </row>
    <row r="77" spans="1:9" ht="14.25">
      <c r="A77" s="73"/>
      <c r="B77" s="66"/>
      <c r="C77" s="67"/>
      <c r="D77" s="68"/>
      <c r="E77" s="69"/>
      <c r="F77" s="70"/>
      <c r="G77" s="71"/>
      <c r="H77" s="72"/>
      <c r="I77" s="70"/>
    </row>
    <row r="78" spans="1:9" ht="14.25">
      <c r="A78" s="73"/>
      <c r="B78" s="66"/>
      <c r="C78" s="67"/>
      <c r="D78" s="68"/>
      <c r="E78" s="69"/>
      <c r="F78" s="70"/>
      <c r="G78" s="71"/>
      <c r="H78" s="72"/>
      <c r="I78" s="70"/>
    </row>
    <row r="79" spans="1:9" ht="14.25">
      <c r="A79" s="73"/>
      <c r="B79" s="66"/>
      <c r="C79" s="67"/>
      <c r="D79" s="68"/>
      <c r="E79" s="69"/>
      <c r="F79" s="70"/>
      <c r="G79" s="71"/>
      <c r="H79" s="72"/>
      <c r="I79" s="70"/>
    </row>
    <row r="80" spans="1:9" ht="14.25">
      <c r="A80" s="73"/>
      <c r="B80" s="66"/>
      <c r="C80" s="67"/>
      <c r="D80" s="68"/>
      <c r="E80" s="69"/>
      <c r="F80" s="70"/>
      <c r="G80" s="71"/>
      <c r="H80" s="72"/>
      <c r="I80" s="70"/>
    </row>
    <row r="81" spans="1:9" ht="14.25">
      <c r="A81" s="73"/>
      <c r="B81" s="66"/>
      <c r="C81" s="67"/>
      <c r="D81" s="68"/>
      <c r="E81" s="69"/>
      <c r="F81" s="70"/>
      <c r="G81" s="71"/>
      <c r="H81" s="72"/>
      <c r="I81" s="70"/>
    </row>
    <row r="82" spans="1:9" ht="14.25">
      <c r="A82" s="73"/>
      <c r="B82" s="66"/>
      <c r="C82" s="67"/>
      <c r="D82" s="68"/>
      <c r="E82" s="69"/>
      <c r="F82" s="70"/>
      <c r="G82" s="71"/>
      <c r="H82" s="72"/>
      <c r="I82" s="70"/>
    </row>
    <row r="83" spans="1:9" ht="14.25">
      <c r="A83" s="73"/>
      <c r="B83" s="66"/>
      <c r="C83" s="67"/>
      <c r="D83" s="68"/>
      <c r="E83" s="69"/>
      <c r="F83" s="70"/>
      <c r="G83" s="71"/>
      <c r="H83" s="72"/>
      <c r="I83" s="70"/>
    </row>
    <row r="84" spans="1:9" ht="14.25">
      <c r="A84" s="73"/>
      <c r="B84" s="66"/>
      <c r="C84" s="67"/>
      <c r="D84" s="68"/>
      <c r="E84" s="69"/>
      <c r="F84" s="70"/>
      <c r="G84" s="71"/>
      <c r="H84" s="72"/>
      <c r="I84" s="70"/>
    </row>
    <row r="85" spans="1:9" ht="14.25">
      <c r="A85" s="73"/>
      <c r="B85" s="66"/>
      <c r="C85" s="67"/>
      <c r="D85" s="68"/>
      <c r="E85" s="69"/>
      <c r="F85" s="70"/>
      <c r="G85" s="71"/>
      <c r="H85" s="72"/>
      <c r="I85" s="70"/>
    </row>
    <row r="86" spans="1:9" ht="14.25">
      <c r="A86" s="73"/>
      <c r="B86" s="66"/>
      <c r="C86" s="67"/>
      <c r="D86" s="68"/>
      <c r="E86" s="69"/>
      <c r="F86" s="70"/>
      <c r="G86" s="71"/>
      <c r="H86" s="72"/>
      <c r="I86" s="70"/>
    </row>
    <row r="87" spans="1:9" ht="14.25">
      <c r="A87" s="73"/>
      <c r="B87" s="66"/>
      <c r="C87" s="67"/>
      <c r="D87" s="68"/>
      <c r="E87" s="69"/>
      <c r="F87" s="70"/>
      <c r="G87" s="71"/>
      <c r="H87" s="72"/>
      <c r="I87" s="70"/>
    </row>
    <row r="88" spans="1:9" ht="14.25">
      <c r="A88" s="73"/>
      <c r="B88" s="66"/>
      <c r="C88" s="67"/>
      <c r="D88" s="68"/>
      <c r="E88" s="69"/>
      <c r="F88" s="70"/>
      <c r="G88" s="71"/>
      <c r="H88" s="72"/>
      <c r="I88" s="70"/>
    </row>
    <row r="89" spans="1:9" ht="14.25">
      <c r="A89" s="73"/>
      <c r="B89" s="66"/>
      <c r="C89" s="67"/>
      <c r="D89" s="68"/>
      <c r="E89" s="69"/>
      <c r="F89" s="70"/>
      <c r="G89" s="71"/>
      <c r="H89" s="72"/>
      <c r="I89" s="70"/>
    </row>
    <row r="90" spans="1:9" ht="14.25">
      <c r="A90" s="73"/>
      <c r="B90" s="66"/>
      <c r="C90" s="67"/>
      <c r="D90" s="68"/>
      <c r="E90" s="69"/>
      <c r="F90" s="70"/>
      <c r="G90" s="71"/>
      <c r="H90" s="72"/>
      <c r="I90" s="70"/>
    </row>
    <row r="91" spans="1:9" ht="14.25">
      <c r="A91" s="73"/>
      <c r="B91" s="66"/>
      <c r="C91" s="67"/>
      <c r="D91" s="68"/>
      <c r="E91" s="69"/>
      <c r="F91" s="70"/>
      <c r="G91" s="71"/>
      <c r="H91" s="72"/>
      <c r="I91" s="70"/>
    </row>
    <row r="92" spans="1:9" ht="14.25">
      <c r="A92" s="73"/>
      <c r="B92" s="66"/>
      <c r="C92" s="67"/>
      <c r="D92" s="68"/>
      <c r="E92" s="69"/>
      <c r="F92" s="70"/>
      <c r="G92" s="71"/>
      <c r="H92" s="72"/>
      <c r="I92" s="70"/>
    </row>
    <row r="93" spans="1:9" ht="14.25">
      <c r="A93" s="73"/>
      <c r="B93" s="66"/>
      <c r="C93" s="67"/>
      <c r="D93" s="68"/>
      <c r="E93" s="69"/>
      <c r="F93" s="70"/>
      <c r="G93" s="71"/>
      <c r="H93" s="72"/>
      <c r="I93" s="70"/>
    </row>
    <row r="94" spans="1:9" ht="14.25">
      <c r="A94" s="73"/>
      <c r="B94" s="66"/>
      <c r="C94" s="67"/>
      <c r="D94" s="68"/>
      <c r="E94" s="69"/>
      <c r="F94" s="70"/>
      <c r="G94" s="71"/>
      <c r="H94" s="72"/>
      <c r="I94" s="70"/>
    </row>
    <row r="95" spans="1:9" ht="14.25">
      <c r="A95" s="73"/>
      <c r="B95" s="66"/>
      <c r="C95" s="67"/>
      <c r="D95" s="68"/>
      <c r="E95" s="69"/>
      <c r="F95" s="70"/>
      <c r="G95" s="71"/>
      <c r="H95" s="72"/>
      <c r="I95" s="70"/>
    </row>
    <row r="96" spans="1:9" ht="14.25">
      <c r="A96" s="73"/>
      <c r="B96" s="66"/>
      <c r="C96" s="67"/>
      <c r="D96" s="68"/>
      <c r="E96" s="69"/>
      <c r="F96" s="70"/>
      <c r="G96" s="71"/>
      <c r="H96" s="72"/>
      <c r="I96" s="70"/>
    </row>
    <row r="97" spans="1:9" ht="14.25">
      <c r="A97" s="73"/>
      <c r="B97" s="66"/>
      <c r="C97" s="67"/>
      <c r="D97" s="68"/>
      <c r="E97" s="69"/>
      <c r="F97" s="70"/>
      <c r="G97" s="71"/>
      <c r="H97" s="72"/>
      <c r="I97" s="70"/>
    </row>
    <row r="98" spans="1:9" ht="14.25">
      <c r="A98" s="73"/>
      <c r="B98" s="66"/>
      <c r="C98" s="67"/>
      <c r="D98" s="68"/>
      <c r="E98" s="69"/>
      <c r="F98" s="70"/>
      <c r="G98" s="71"/>
      <c r="H98" s="72"/>
      <c r="I98" s="70"/>
    </row>
    <row r="99" spans="1:9" ht="14.25">
      <c r="A99" s="73"/>
      <c r="B99" s="66"/>
      <c r="C99" s="67"/>
      <c r="D99" s="68"/>
      <c r="E99" s="69"/>
      <c r="F99" s="70"/>
      <c r="G99" s="71"/>
      <c r="H99" s="72"/>
      <c r="I99" s="70"/>
    </row>
    <row r="100" spans="1:9" ht="14.25">
      <c r="A100" s="73"/>
      <c r="B100" s="66"/>
      <c r="C100" s="67"/>
      <c r="D100" s="68"/>
      <c r="E100" s="69"/>
      <c r="F100" s="70"/>
      <c r="G100" s="71"/>
      <c r="H100" s="72"/>
      <c r="I100" s="70"/>
    </row>
    <row r="101" spans="1:9" ht="14.25">
      <c r="A101" s="73"/>
      <c r="B101" s="66"/>
      <c r="C101" s="67"/>
      <c r="D101" s="68"/>
      <c r="E101" s="69"/>
      <c r="F101" s="70"/>
      <c r="G101" s="71"/>
      <c r="H101" s="72"/>
      <c r="I101" s="70"/>
    </row>
    <row r="102" spans="1:9" ht="14.25">
      <c r="A102" s="73"/>
      <c r="B102" s="66"/>
      <c r="C102" s="67"/>
      <c r="D102" s="68"/>
      <c r="E102" s="69"/>
      <c r="F102" s="70"/>
      <c r="G102" s="71"/>
      <c r="H102" s="72"/>
      <c r="I102" s="70"/>
    </row>
    <row r="103" spans="1:9" ht="14.25">
      <c r="A103" s="73"/>
      <c r="B103" s="66"/>
      <c r="C103" s="67"/>
      <c r="D103" s="68"/>
      <c r="E103" s="69"/>
      <c r="F103" s="70"/>
      <c r="G103" s="71"/>
      <c r="H103" s="72"/>
      <c r="I103" s="70"/>
    </row>
    <row r="104" spans="1:9" ht="14.25">
      <c r="A104" s="73"/>
      <c r="B104" s="66"/>
      <c r="C104" s="67"/>
      <c r="D104" s="68"/>
      <c r="E104" s="69"/>
      <c r="F104" s="70"/>
      <c r="G104" s="71"/>
      <c r="H104" s="72"/>
      <c r="I104" s="70"/>
    </row>
    <row r="105" spans="1:9" ht="14.25">
      <c r="A105" s="73"/>
      <c r="B105" s="66"/>
      <c r="C105" s="67"/>
      <c r="D105" s="68"/>
      <c r="E105" s="69"/>
      <c r="F105" s="70"/>
      <c r="G105" s="71"/>
      <c r="H105" s="72"/>
      <c r="I105" s="70"/>
    </row>
    <row r="106" spans="1:9" ht="14.25">
      <c r="A106" s="73"/>
      <c r="B106" s="66"/>
      <c r="C106" s="67"/>
      <c r="D106" s="68"/>
      <c r="E106" s="69"/>
      <c r="F106" s="70"/>
      <c r="G106" s="71"/>
      <c r="H106" s="72"/>
      <c r="I106" s="70"/>
    </row>
    <row r="107" spans="1:9" ht="14.25">
      <c r="A107" s="73"/>
      <c r="B107" s="66"/>
      <c r="C107" s="67"/>
      <c r="D107" s="68"/>
      <c r="E107" s="69"/>
      <c r="F107" s="70"/>
      <c r="G107" s="71"/>
      <c r="H107" s="72"/>
      <c r="I107" s="70"/>
    </row>
    <row r="108" spans="1:9" ht="14.25">
      <c r="A108" s="73"/>
      <c r="B108" s="66"/>
      <c r="C108" s="67"/>
      <c r="D108" s="68"/>
      <c r="E108" s="69"/>
      <c r="F108" s="70"/>
      <c r="G108" s="71"/>
      <c r="H108" s="72"/>
      <c r="I108" s="70"/>
    </row>
    <row r="109" spans="1:9" ht="14.25">
      <c r="A109" s="73"/>
      <c r="B109" s="66"/>
      <c r="C109" s="67"/>
      <c r="D109" s="68"/>
      <c r="E109" s="69"/>
      <c r="F109" s="70"/>
      <c r="G109" s="71"/>
      <c r="H109" s="72"/>
      <c r="I109" s="70"/>
    </row>
    <row r="110" spans="1:9" ht="14.25">
      <c r="A110" s="73"/>
      <c r="B110" s="66"/>
      <c r="C110" s="67"/>
      <c r="D110" s="68"/>
      <c r="E110" s="69"/>
      <c r="F110" s="70"/>
      <c r="G110" s="71"/>
      <c r="H110" s="72"/>
      <c r="I110" s="70"/>
    </row>
    <row r="111" spans="1:9" ht="14.25">
      <c r="A111" s="73"/>
      <c r="B111" s="66"/>
      <c r="C111" s="67"/>
      <c r="D111" s="68"/>
      <c r="E111" s="69"/>
      <c r="F111" s="70"/>
      <c r="G111" s="71"/>
      <c r="H111" s="72"/>
      <c r="I111" s="70"/>
    </row>
    <row r="112" spans="1:9" ht="14.25">
      <c r="A112" s="73"/>
      <c r="B112" s="66"/>
      <c r="C112" s="67"/>
      <c r="D112" s="68"/>
      <c r="E112" s="69"/>
      <c r="F112" s="70"/>
      <c r="G112" s="71"/>
      <c r="H112" s="72"/>
      <c r="I112" s="70"/>
    </row>
    <row r="113" spans="1:9" ht="14.25">
      <c r="A113" s="73"/>
      <c r="B113" s="66"/>
      <c r="C113" s="67"/>
      <c r="D113" s="68"/>
      <c r="E113" s="69"/>
      <c r="F113" s="70"/>
      <c r="G113" s="71"/>
      <c r="H113" s="72"/>
      <c r="I113" s="70"/>
    </row>
    <row r="114" spans="1:9" ht="14.25">
      <c r="A114" s="73"/>
      <c r="B114" s="66"/>
      <c r="C114" s="67"/>
      <c r="D114" s="68"/>
      <c r="E114" s="69"/>
      <c r="F114" s="70"/>
      <c r="G114" s="71"/>
      <c r="H114" s="72"/>
      <c r="I114" s="70"/>
    </row>
    <row r="115" spans="1:9" ht="14.25">
      <c r="A115" s="73"/>
      <c r="B115" s="66"/>
      <c r="C115" s="67"/>
      <c r="D115" s="68"/>
      <c r="E115" s="69"/>
      <c r="F115" s="70"/>
      <c r="G115" s="71"/>
      <c r="H115" s="72"/>
      <c r="I115" s="70"/>
    </row>
    <row r="116" spans="1:9" ht="14.25">
      <c r="A116" s="73"/>
      <c r="B116" s="66"/>
      <c r="C116" s="67"/>
      <c r="D116" s="68"/>
      <c r="E116" s="69"/>
      <c r="F116" s="70"/>
      <c r="G116" s="71"/>
      <c r="H116" s="72"/>
      <c r="I116" s="70"/>
    </row>
    <row r="117" spans="1:9" ht="14.25">
      <c r="A117" s="73"/>
      <c r="B117" s="66"/>
      <c r="C117" s="67"/>
      <c r="D117" s="68"/>
      <c r="E117" s="69"/>
      <c r="F117" s="70"/>
      <c r="G117" s="71"/>
      <c r="H117" s="72"/>
      <c r="I117" s="70"/>
    </row>
    <row r="118" spans="1:9" ht="14.25">
      <c r="A118" s="73"/>
      <c r="B118" s="66"/>
      <c r="C118" s="67"/>
      <c r="D118" s="68"/>
      <c r="E118" s="69"/>
      <c r="F118" s="70"/>
      <c r="G118" s="71"/>
      <c r="H118" s="72"/>
      <c r="I118" s="70"/>
    </row>
    <row r="119" spans="1:9" ht="14.25">
      <c r="A119" s="73"/>
      <c r="B119" s="66"/>
      <c r="C119" s="67"/>
      <c r="D119" s="68"/>
      <c r="E119" s="69"/>
      <c r="F119" s="70"/>
      <c r="G119" s="71"/>
      <c r="H119" s="72"/>
      <c r="I119" s="70"/>
    </row>
    <row r="120" spans="1:9" ht="14.25">
      <c r="A120" s="73"/>
      <c r="B120" s="66"/>
      <c r="C120" s="67"/>
      <c r="D120" s="68"/>
      <c r="E120" s="69"/>
      <c r="F120" s="70"/>
      <c r="G120" s="71"/>
      <c r="H120" s="72"/>
      <c r="I120" s="70"/>
    </row>
    <row r="121" spans="1:9" ht="14.25">
      <c r="A121" s="73"/>
      <c r="B121" s="66"/>
      <c r="C121" s="67"/>
      <c r="D121" s="68"/>
      <c r="E121" s="69"/>
      <c r="F121" s="70"/>
      <c r="G121" s="71"/>
      <c r="H121" s="72"/>
      <c r="I121" s="70"/>
    </row>
    <row r="122" spans="1:9" ht="14.25">
      <c r="A122" s="73"/>
      <c r="B122" s="66"/>
      <c r="C122" s="67"/>
      <c r="D122" s="68"/>
      <c r="E122" s="69"/>
      <c r="F122" s="70"/>
      <c r="G122" s="71"/>
      <c r="H122" s="72"/>
      <c r="I122" s="70"/>
    </row>
    <row r="123" spans="1:9" ht="14.25">
      <c r="A123" s="73"/>
      <c r="B123" s="66"/>
      <c r="C123" s="67"/>
      <c r="D123" s="68"/>
      <c r="E123" s="69"/>
      <c r="F123" s="70"/>
      <c r="G123" s="71"/>
      <c r="H123" s="72"/>
      <c r="I123" s="70"/>
    </row>
    <row r="124" spans="1:9" ht="14.25">
      <c r="A124" s="73"/>
      <c r="B124" s="66"/>
      <c r="C124" s="67"/>
      <c r="D124" s="68"/>
      <c r="E124" s="69"/>
      <c r="F124" s="70"/>
      <c r="G124" s="71"/>
      <c r="H124" s="72"/>
      <c r="I124" s="70"/>
    </row>
    <row r="125" spans="1:9" ht="14.25">
      <c r="A125" s="73"/>
      <c r="B125" s="66"/>
      <c r="C125" s="67"/>
      <c r="D125" s="68"/>
      <c r="E125" s="69"/>
      <c r="F125" s="70"/>
      <c r="G125" s="71"/>
      <c r="H125" s="72"/>
      <c r="I125" s="70"/>
    </row>
    <row r="126" spans="1:9" ht="14.25">
      <c r="A126" s="73"/>
      <c r="B126" s="66"/>
      <c r="C126" s="67"/>
      <c r="D126" s="68"/>
      <c r="E126" s="69"/>
      <c r="F126" s="70"/>
      <c r="G126" s="71"/>
      <c r="H126" s="72"/>
      <c r="I126" s="70"/>
    </row>
    <row r="127" spans="1:9" ht="14.25">
      <c r="A127" s="73"/>
      <c r="B127" s="66"/>
      <c r="C127" s="67"/>
      <c r="D127" s="68"/>
      <c r="E127" s="69"/>
      <c r="F127" s="70"/>
      <c r="G127" s="71"/>
      <c r="H127" s="72"/>
      <c r="I127" s="70"/>
    </row>
    <row r="128" spans="1:9" ht="14.25">
      <c r="A128" s="73"/>
      <c r="B128" s="66"/>
      <c r="C128" s="67"/>
      <c r="D128" s="68"/>
      <c r="E128" s="69"/>
      <c r="F128" s="70"/>
      <c r="G128" s="71"/>
      <c r="H128" s="72"/>
      <c r="I128" s="70"/>
    </row>
    <row r="129" spans="1:9" ht="14.25">
      <c r="A129" s="73"/>
      <c r="B129" s="66"/>
      <c r="C129" s="67"/>
      <c r="D129" s="68"/>
      <c r="E129" s="69"/>
      <c r="F129" s="70"/>
      <c r="G129" s="71"/>
      <c r="H129" s="72"/>
      <c r="I129" s="70"/>
    </row>
    <row r="130" spans="1:9" ht="14.25">
      <c r="A130" s="73"/>
      <c r="B130" s="66"/>
      <c r="C130" s="67"/>
      <c r="D130" s="68"/>
      <c r="E130" s="69"/>
      <c r="F130" s="70"/>
      <c r="G130" s="71"/>
      <c r="H130" s="72"/>
      <c r="I130" s="70"/>
    </row>
    <row r="131" spans="1:9" ht="14.25">
      <c r="A131" s="73"/>
      <c r="B131" s="66"/>
      <c r="C131" s="67"/>
      <c r="D131" s="68"/>
      <c r="E131" s="69"/>
      <c r="F131" s="70"/>
      <c r="G131" s="71"/>
      <c r="H131" s="72"/>
      <c r="I131" s="70"/>
    </row>
    <row r="132" spans="1:9" ht="14.25">
      <c r="A132" s="73"/>
      <c r="B132" s="66"/>
      <c r="C132" s="67"/>
      <c r="D132" s="68"/>
      <c r="E132" s="69"/>
      <c r="F132" s="70"/>
      <c r="G132" s="71"/>
      <c r="H132" s="72"/>
      <c r="I132" s="70"/>
    </row>
    <row r="133" spans="1:9" ht="14.25">
      <c r="A133" s="73"/>
      <c r="B133" s="66"/>
      <c r="C133" s="67"/>
      <c r="D133" s="68"/>
      <c r="E133" s="69"/>
      <c r="F133" s="70"/>
      <c r="G133" s="71"/>
      <c r="H133" s="72"/>
      <c r="I133" s="70"/>
    </row>
    <row r="134" spans="1:9" ht="14.25">
      <c r="A134" s="73"/>
      <c r="B134" s="66"/>
      <c r="C134" s="67"/>
      <c r="D134" s="68"/>
      <c r="E134" s="69"/>
      <c r="F134" s="70"/>
      <c r="G134" s="71"/>
      <c r="H134" s="72"/>
      <c r="I134" s="70"/>
    </row>
    <row r="135" spans="1:9" ht="14.25">
      <c r="A135" s="73"/>
      <c r="B135" s="66"/>
      <c r="C135" s="67"/>
      <c r="D135" s="68"/>
      <c r="E135" s="69"/>
      <c r="F135" s="70"/>
      <c r="G135" s="71"/>
      <c r="H135" s="72"/>
      <c r="I135" s="70"/>
    </row>
    <row r="136" spans="1:9" ht="14.25">
      <c r="A136" s="73"/>
      <c r="B136" s="66"/>
      <c r="C136" s="67"/>
      <c r="D136" s="68"/>
      <c r="E136" s="69"/>
      <c r="F136" s="70"/>
      <c r="G136" s="71"/>
      <c r="H136" s="72"/>
      <c r="I136" s="70"/>
    </row>
    <row r="137" spans="1:9" ht="14.25">
      <c r="A137" s="73"/>
      <c r="B137" s="66"/>
      <c r="C137" s="67"/>
      <c r="D137" s="68"/>
      <c r="E137" s="69"/>
      <c r="F137" s="70"/>
      <c r="G137" s="71"/>
      <c r="H137" s="72"/>
      <c r="I137" s="70"/>
    </row>
    <row r="138" spans="1:9" ht="14.25">
      <c r="A138" s="73"/>
      <c r="B138" s="66"/>
      <c r="C138" s="67"/>
      <c r="D138" s="68"/>
      <c r="E138" s="69"/>
      <c r="F138" s="70"/>
      <c r="G138" s="71"/>
      <c r="H138" s="72"/>
      <c r="I138" s="70"/>
    </row>
    <row r="139" spans="1:9" ht="14.25">
      <c r="A139" s="73"/>
      <c r="B139" s="66"/>
      <c r="C139" s="67"/>
      <c r="D139" s="68"/>
      <c r="E139" s="69"/>
      <c r="F139" s="70"/>
      <c r="G139" s="71"/>
      <c r="H139" s="72"/>
      <c r="I139" s="70"/>
    </row>
    <row r="140" spans="1:9" ht="14.25">
      <c r="A140" s="73"/>
      <c r="B140" s="66"/>
      <c r="C140" s="67"/>
      <c r="D140" s="68"/>
      <c r="E140" s="69"/>
      <c r="F140" s="70"/>
      <c r="G140" s="71"/>
      <c r="H140" s="72"/>
      <c r="I140" s="70"/>
    </row>
    <row r="141" spans="1:9" ht="14.25">
      <c r="A141" s="73"/>
      <c r="B141" s="66"/>
      <c r="C141" s="67"/>
      <c r="D141" s="68"/>
      <c r="E141" s="69"/>
      <c r="F141" s="70"/>
      <c r="G141" s="71"/>
      <c r="H141" s="72"/>
      <c r="I141" s="70"/>
    </row>
    <row r="142" spans="1:9" ht="14.25">
      <c r="A142" s="73"/>
      <c r="B142" s="66"/>
      <c r="C142" s="67"/>
      <c r="D142" s="68"/>
      <c r="E142" s="69"/>
      <c r="F142" s="70"/>
      <c r="G142" s="71"/>
      <c r="H142" s="72"/>
      <c r="I142" s="70"/>
    </row>
    <row r="143" spans="1:9" ht="14.25">
      <c r="A143" s="73"/>
      <c r="B143" s="66"/>
      <c r="C143" s="67"/>
      <c r="D143" s="68"/>
      <c r="E143" s="69"/>
      <c r="F143" s="70"/>
      <c r="G143" s="71"/>
      <c r="H143" s="72"/>
      <c r="I143" s="70"/>
    </row>
    <row r="144" spans="1:9" ht="14.25">
      <c r="A144" s="73"/>
      <c r="B144" s="66"/>
      <c r="C144" s="67"/>
      <c r="D144" s="68"/>
      <c r="E144" s="69"/>
      <c r="F144" s="70"/>
      <c r="G144" s="71"/>
      <c r="H144" s="72"/>
      <c r="I144" s="70"/>
    </row>
    <row r="145" spans="1:9" ht="14.25">
      <c r="A145" s="73"/>
      <c r="B145" s="66"/>
      <c r="C145" s="67"/>
      <c r="D145" s="68"/>
      <c r="E145" s="69"/>
      <c r="F145" s="70"/>
      <c r="G145" s="71"/>
      <c r="H145" s="72"/>
      <c r="I145" s="70"/>
    </row>
    <row r="146" spans="1:9" ht="14.25">
      <c r="A146" s="73"/>
      <c r="B146" s="66"/>
      <c r="C146" s="67"/>
      <c r="D146" s="68"/>
      <c r="E146" s="69"/>
      <c r="F146" s="70"/>
      <c r="G146" s="71"/>
      <c r="H146" s="72"/>
      <c r="I146" s="70"/>
    </row>
    <row r="147" spans="1:9" ht="14.25">
      <c r="A147" s="73"/>
      <c r="B147" s="66"/>
      <c r="C147" s="67"/>
      <c r="D147" s="68"/>
      <c r="E147" s="69"/>
      <c r="F147" s="70"/>
      <c r="G147" s="71"/>
      <c r="H147" s="72"/>
      <c r="I147" s="70"/>
    </row>
    <row r="148" spans="1:9" ht="14.25">
      <c r="A148" s="73"/>
      <c r="B148" s="66"/>
      <c r="C148" s="67"/>
      <c r="D148" s="68"/>
      <c r="E148" s="69"/>
      <c r="F148" s="70"/>
      <c r="G148" s="71"/>
      <c r="H148" s="72"/>
      <c r="I148" s="70"/>
    </row>
    <row r="149" spans="1:9" ht="14.25">
      <c r="A149" s="73"/>
      <c r="B149" s="66"/>
      <c r="C149" s="67"/>
      <c r="D149" s="68"/>
      <c r="E149" s="69"/>
      <c r="F149" s="70"/>
      <c r="G149" s="71"/>
      <c r="H149" s="72"/>
      <c r="I149" s="70"/>
    </row>
    <row r="150" spans="1:9" ht="14.25">
      <c r="A150" s="73"/>
      <c r="B150" s="66"/>
      <c r="C150" s="67"/>
      <c r="D150" s="68"/>
      <c r="E150" s="69"/>
      <c r="F150" s="70"/>
      <c r="G150" s="71"/>
      <c r="H150" s="72"/>
      <c r="I150" s="70"/>
    </row>
    <row r="151" spans="1:9" ht="14.25">
      <c r="A151" s="73"/>
      <c r="B151" s="66"/>
      <c r="C151" s="67"/>
      <c r="D151" s="68"/>
      <c r="E151" s="69"/>
      <c r="F151" s="70"/>
      <c r="G151" s="71"/>
      <c r="H151" s="72"/>
      <c r="I151" s="70"/>
    </row>
    <row r="152" spans="1:9" ht="14.25">
      <c r="A152" s="73"/>
      <c r="B152" s="66"/>
      <c r="C152" s="67"/>
      <c r="D152" s="68"/>
      <c r="E152" s="69"/>
      <c r="F152" s="70"/>
      <c r="G152" s="71"/>
      <c r="H152" s="72"/>
      <c r="I152" s="70"/>
    </row>
    <row r="153" spans="1:9" ht="14.25">
      <c r="A153" s="73"/>
      <c r="B153" s="66"/>
      <c r="C153" s="67"/>
      <c r="D153" s="68"/>
      <c r="E153" s="69"/>
      <c r="F153" s="70"/>
      <c r="G153" s="71"/>
      <c r="H153" s="72"/>
      <c r="I153" s="70"/>
    </row>
    <row r="154" spans="1:9" ht="14.25">
      <c r="A154" s="73"/>
      <c r="B154" s="66"/>
      <c r="C154" s="67"/>
      <c r="D154" s="68"/>
      <c r="E154" s="69"/>
      <c r="F154" s="70"/>
      <c r="G154" s="71"/>
      <c r="H154" s="72"/>
      <c r="I154" s="70"/>
    </row>
    <row r="155" spans="1:9" ht="14.25">
      <c r="A155" s="73"/>
      <c r="B155" s="66"/>
      <c r="C155" s="67"/>
      <c r="D155" s="68"/>
      <c r="E155" s="69"/>
      <c r="F155" s="70"/>
      <c r="G155" s="71"/>
      <c r="H155" s="72"/>
      <c r="I155" s="70"/>
    </row>
    <row r="156" spans="1:9" ht="14.25">
      <c r="A156" s="73"/>
      <c r="B156" s="66"/>
      <c r="C156" s="67"/>
      <c r="D156" s="68"/>
      <c r="E156" s="69"/>
      <c r="F156" s="70"/>
      <c r="G156" s="71"/>
      <c r="H156" s="72"/>
      <c r="I156" s="70"/>
    </row>
    <row r="157" spans="1:9" ht="14.25">
      <c r="A157" s="73"/>
      <c r="B157" s="66"/>
      <c r="C157" s="67"/>
      <c r="D157" s="68"/>
      <c r="E157" s="69"/>
      <c r="F157" s="70"/>
      <c r="G157" s="71"/>
      <c r="H157" s="72"/>
      <c r="I157" s="70"/>
    </row>
    <row r="158" spans="1:9" ht="14.25">
      <c r="A158" s="73"/>
      <c r="B158" s="66"/>
      <c r="C158" s="67"/>
      <c r="D158" s="68"/>
      <c r="E158" s="69"/>
      <c r="F158" s="70"/>
      <c r="G158" s="71"/>
      <c r="H158" s="72"/>
      <c r="I158" s="70"/>
    </row>
    <row r="159" spans="1:9" ht="14.25">
      <c r="A159" s="73"/>
      <c r="B159" s="66"/>
      <c r="C159" s="67"/>
      <c r="D159" s="68"/>
      <c r="E159" s="69"/>
      <c r="F159" s="70"/>
      <c r="G159" s="71"/>
      <c r="H159" s="72"/>
      <c r="I159" s="70"/>
    </row>
    <row r="160" spans="1:9" ht="14.25">
      <c r="A160" s="73"/>
      <c r="B160" s="66"/>
      <c r="C160" s="67"/>
      <c r="D160" s="68"/>
      <c r="E160" s="69"/>
      <c r="F160" s="70"/>
      <c r="G160" s="71"/>
      <c r="H160" s="72"/>
      <c r="I160" s="70"/>
    </row>
    <row r="161" spans="1:9" ht="14.25">
      <c r="A161" s="73"/>
      <c r="B161" s="66"/>
      <c r="C161" s="67"/>
      <c r="D161" s="68"/>
      <c r="E161" s="69"/>
      <c r="F161" s="70"/>
      <c r="G161" s="71"/>
      <c r="H161" s="72"/>
      <c r="I161" s="70"/>
    </row>
    <row r="162" spans="1:9" ht="14.25">
      <c r="A162" s="73"/>
      <c r="B162" s="66"/>
      <c r="C162" s="67"/>
      <c r="D162" s="68"/>
      <c r="E162" s="69"/>
      <c r="F162" s="70"/>
      <c r="G162" s="71"/>
      <c r="H162" s="72"/>
      <c r="I162" s="70"/>
    </row>
    <row r="163" spans="1:9" ht="14.25">
      <c r="A163" s="73"/>
      <c r="B163" s="66"/>
      <c r="C163" s="67"/>
      <c r="D163" s="68"/>
      <c r="E163" s="69"/>
      <c r="F163" s="70"/>
      <c r="G163" s="71"/>
      <c r="H163" s="72"/>
      <c r="I163" s="70"/>
    </row>
    <row r="164" spans="1:9" ht="14.25">
      <c r="A164" s="73"/>
      <c r="B164" s="66"/>
      <c r="C164" s="67"/>
      <c r="D164" s="68"/>
      <c r="E164" s="69"/>
      <c r="F164" s="70"/>
      <c r="G164" s="71"/>
      <c r="H164" s="72"/>
      <c r="I164" s="70"/>
    </row>
    <row r="165" spans="1:9" ht="14.25">
      <c r="A165" s="73"/>
      <c r="B165" s="66"/>
      <c r="C165" s="67"/>
      <c r="D165" s="68"/>
      <c r="E165" s="69"/>
      <c r="F165" s="70"/>
      <c r="G165" s="71"/>
      <c r="H165" s="72"/>
      <c r="I165" s="70"/>
    </row>
    <row r="166" spans="1:9" ht="14.25">
      <c r="A166" s="73"/>
      <c r="B166" s="66"/>
      <c r="C166" s="67"/>
      <c r="D166" s="68"/>
      <c r="E166" s="69"/>
      <c r="F166" s="70"/>
      <c r="G166" s="71"/>
      <c r="H166" s="72"/>
      <c r="I166" s="70"/>
    </row>
    <row r="167" spans="1:9" ht="14.25">
      <c r="A167" s="73"/>
      <c r="B167" s="66"/>
      <c r="C167" s="67"/>
      <c r="D167" s="68"/>
      <c r="E167" s="69"/>
      <c r="F167" s="70"/>
      <c r="G167" s="71"/>
      <c r="H167" s="72"/>
      <c r="I167" s="70"/>
    </row>
    <row r="168" spans="1:9" ht="14.25">
      <c r="A168" s="26"/>
      <c r="B168" s="26"/>
      <c r="C168" s="26"/>
      <c r="D168" s="26"/>
      <c r="E168" s="27"/>
      <c r="F168" s="27"/>
      <c r="G168" s="27"/>
      <c r="H168" s="28"/>
    </row>
    <row r="169" spans="1:9" ht="14.25">
      <c r="A169" s="26"/>
      <c r="B169" s="26"/>
      <c r="C169" s="26"/>
      <c r="D169" s="26"/>
      <c r="E169" s="27"/>
      <c r="F169" s="27"/>
      <c r="G169" s="27"/>
      <c r="H169" s="28"/>
    </row>
    <row r="170" spans="1:9" ht="14.25">
      <c r="A170" s="26"/>
      <c r="B170" s="26"/>
      <c r="C170" s="26"/>
      <c r="D170" s="26"/>
      <c r="E170" s="27"/>
      <c r="F170" s="27"/>
      <c r="G170" s="27"/>
      <c r="H170" s="28"/>
    </row>
    <row r="171" spans="1:9" ht="14.25">
      <c r="A171" s="26"/>
      <c r="B171" s="26"/>
      <c r="C171" s="26"/>
      <c r="D171" s="26"/>
      <c r="E171" s="27"/>
      <c r="F171" s="27"/>
      <c r="G171" s="27"/>
      <c r="H171" s="28"/>
    </row>
    <row r="172" spans="1:9" ht="14.25">
      <c r="A172" s="26"/>
      <c r="B172" s="26"/>
      <c r="C172" s="26"/>
      <c r="D172" s="26"/>
      <c r="E172" s="27"/>
      <c r="F172" s="27"/>
      <c r="G172" s="27"/>
      <c r="H172" s="28"/>
    </row>
    <row r="173" spans="1:9" ht="14.25">
      <c r="A173" s="26"/>
      <c r="B173" s="26"/>
      <c r="C173" s="26"/>
      <c r="D173" s="26"/>
      <c r="E173" s="27"/>
      <c r="F173" s="27"/>
      <c r="G173" s="27"/>
      <c r="H173" s="28"/>
    </row>
    <row r="174" spans="1:9" ht="14.25">
      <c r="A174" s="26"/>
      <c r="B174" s="26"/>
      <c r="C174" s="26"/>
      <c r="D174" s="26"/>
      <c r="E174" s="27"/>
      <c r="F174" s="27"/>
      <c r="G174" s="27"/>
      <c r="H174" s="28"/>
    </row>
    <row r="175" spans="1:9" ht="14.25">
      <c r="A175" s="26"/>
      <c r="B175" s="26"/>
      <c r="C175" s="26"/>
      <c r="D175" s="26"/>
      <c r="E175" s="27"/>
      <c r="F175" s="27"/>
      <c r="G175" s="27"/>
      <c r="H175" s="28"/>
    </row>
    <row r="176" spans="1:9" ht="14.25">
      <c r="A176" s="26"/>
      <c r="B176" s="26"/>
      <c r="C176" s="26"/>
      <c r="D176" s="26"/>
      <c r="E176" s="27"/>
      <c r="F176" s="27"/>
      <c r="G176" s="27"/>
      <c r="H176" s="28"/>
    </row>
    <row r="177" spans="1:8" ht="14.25">
      <c r="A177" s="26"/>
      <c r="B177" s="26"/>
      <c r="C177" s="26"/>
      <c r="D177" s="26"/>
      <c r="E177" s="27"/>
      <c r="F177" s="27"/>
      <c r="G177" s="27"/>
      <c r="H177" s="28"/>
    </row>
    <row r="178" spans="1:8" ht="14.25">
      <c r="A178" s="26"/>
      <c r="B178" s="26"/>
      <c r="C178" s="26"/>
      <c r="D178" s="26"/>
      <c r="E178" s="27"/>
      <c r="F178" s="27"/>
      <c r="G178" s="27"/>
      <c r="H178" s="28"/>
    </row>
    <row r="179" spans="1:8" ht="14.25">
      <c r="A179" s="26"/>
      <c r="B179" s="26"/>
      <c r="C179" s="26"/>
      <c r="D179" s="26"/>
      <c r="E179" s="27"/>
      <c r="F179" s="27"/>
      <c r="G179" s="27"/>
      <c r="H179" s="28"/>
    </row>
    <row r="180" spans="1:8" ht="14.25">
      <c r="A180" s="26"/>
      <c r="B180" s="26"/>
      <c r="C180" s="26"/>
      <c r="D180" s="26"/>
      <c r="E180" s="27"/>
      <c r="F180" s="27"/>
      <c r="G180" s="27"/>
      <c r="H180" s="28"/>
    </row>
    <row r="181" spans="1:8" ht="14.25">
      <c r="A181" s="26"/>
      <c r="B181" s="26"/>
      <c r="C181" s="26"/>
      <c r="D181" s="26"/>
      <c r="E181" s="27"/>
      <c r="F181" s="27"/>
      <c r="G181" s="27"/>
      <c r="H181" s="28"/>
    </row>
    <row r="182" spans="1:8" ht="14.25">
      <c r="A182" s="26"/>
      <c r="B182" s="26"/>
      <c r="C182" s="26"/>
      <c r="D182" s="26"/>
      <c r="E182" s="27"/>
      <c r="F182" s="27"/>
      <c r="G182" s="27"/>
      <c r="H182" s="28"/>
    </row>
    <row r="183" spans="1:8" ht="14.25">
      <c r="A183" s="26"/>
      <c r="B183" s="26"/>
      <c r="C183" s="26"/>
      <c r="D183" s="26"/>
      <c r="E183" s="27"/>
      <c r="F183" s="27"/>
      <c r="G183" s="27"/>
      <c r="H183" s="28"/>
    </row>
    <row r="184" spans="1:8" ht="14.25">
      <c r="A184" s="26"/>
      <c r="B184" s="26"/>
      <c r="C184" s="26"/>
      <c r="D184" s="26"/>
      <c r="E184" s="27"/>
      <c r="F184" s="27"/>
      <c r="G184" s="27"/>
      <c r="H184" s="28"/>
    </row>
    <row r="185" spans="1:8" ht="14.25">
      <c r="A185" s="26"/>
      <c r="B185" s="26"/>
      <c r="C185" s="26"/>
      <c r="D185" s="26"/>
      <c r="E185" s="27"/>
      <c r="F185" s="27"/>
      <c r="G185" s="27"/>
      <c r="H185" s="28"/>
    </row>
    <row r="186" spans="1:8" ht="14.25">
      <c r="A186" s="26"/>
      <c r="B186" s="26"/>
      <c r="C186" s="26"/>
      <c r="D186" s="26"/>
      <c r="E186" s="27"/>
      <c r="F186" s="27"/>
      <c r="G186" s="27"/>
      <c r="H186" s="28"/>
    </row>
    <row r="187" spans="1:8" ht="14.25">
      <c r="A187" s="26"/>
      <c r="B187" s="26"/>
      <c r="C187" s="26"/>
      <c r="D187" s="26"/>
      <c r="E187" s="27"/>
      <c r="F187" s="27"/>
      <c r="G187" s="27"/>
      <c r="H187" s="28"/>
    </row>
    <row r="188" spans="1:8" ht="14.25">
      <c r="A188" s="26"/>
      <c r="B188" s="26"/>
      <c r="C188" s="26"/>
      <c r="D188" s="26"/>
      <c r="E188" s="27"/>
      <c r="F188" s="27"/>
      <c r="G188" s="27"/>
      <c r="H188" s="28"/>
    </row>
    <row r="189" spans="1:8" ht="14.25">
      <c r="A189" s="26"/>
      <c r="B189" s="26"/>
      <c r="C189" s="26"/>
      <c r="D189" s="26"/>
      <c r="E189" s="27"/>
      <c r="F189" s="27"/>
      <c r="G189" s="27"/>
      <c r="H189" s="28"/>
    </row>
    <row r="190" spans="1:8" ht="14.25">
      <c r="A190" s="26"/>
      <c r="B190" s="26"/>
      <c r="C190" s="26"/>
      <c r="D190" s="26"/>
      <c r="E190" s="27"/>
      <c r="F190" s="27"/>
      <c r="G190" s="27"/>
      <c r="H190" s="28"/>
    </row>
    <row r="191" spans="1:8" ht="14.25">
      <c r="A191" s="26"/>
      <c r="B191" s="26"/>
      <c r="C191" s="26"/>
      <c r="D191" s="26"/>
      <c r="E191" s="27"/>
      <c r="F191" s="27"/>
      <c r="G191" s="27"/>
      <c r="H191" s="28"/>
    </row>
    <row r="192" spans="1:8" ht="14.25">
      <c r="A192" s="26"/>
      <c r="B192" s="26"/>
      <c r="C192" s="26"/>
      <c r="D192" s="26"/>
      <c r="E192" s="27"/>
      <c r="F192" s="27"/>
      <c r="G192" s="27"/>
      <c r="H192" s="28"/>
    </row>
    <row r="193" spans="1:8" ht="14.25">
      <c r="A193" s="26"/>
      <c r="B193" s="26"/>
      <c r="C193" s="26"/>
      <c r="D193" s="26"/>
      <c r="E193" s="27"/>
      <c r="F193" s="27"/>
      <c r="G193" s="27"/>
      <c r="H193" s="28"/>
    </row>
    <row r="194" spans="1:8" ht="14.25">
      <c r="A194" s="26"/>
      <c r="B194" s="26"/>
      <c r="C194" s="26"/>
      <c r="D194" s="26"/>
      <c r="E194" s="27"/>
      <c r="F194" s="27"/>
      <c r="G194" s="27"/>
      <c r="H194" s="28"/>
    </row>
    <row r="195" spans="1:8" ht="14.25">
      <c r="A195" s="26"/>
      <c r="B195" s="26"/>
      <c r="C195" s="26"/>
      <c r="D195" s="26"/>
      <c r="E195" s="27"/>
      <c r="F195" s="27"/>
      <c r="G195" s="27"/>
      <c r="H195" s="28"/>
    </row>
    <row r="196" spans="1:8" ht="14.25">
      <c r="A196" s="26"/>
      <c r="B196" s="26"/>
      <c r="C196" s="26"/>
      <c r="D196" s="26"/>
      <c r="E196" s="27"/>
      <c r="F196" s="27"/>
      <c r="G196" s="27"/>
      <c r="H196" s="28"/>
    </row>
    <row r="197" spans="1:8" ht="14.25">
      <c r="A197" s="26"/>
      <c r="B197" s="26"/>
      <c r="C197" s="26"/>
      <c r="D197" s="26"/>
      <c r="E197" s="27"/>
      <c r="F197" s="27"/>
      <c r="G197" s="27"/>
      <c r="H197" s="28"/>
    </row>
    <row r="198" spans="1:8" ht="14.25">
      <c r="A198" s="26"/>
      <c r="B198" s="26"/>
      <c r="C198" s="26"/>
      <c r="D198" s="26"/>
      <c r="E198" s="27"/>
      <c r="F198" s="27"/>
      <c r="G198" s="27"/>
      <c r="H198" s="28"/>
    </row>
    <row r="199" spans="1:8" ht="14.25">
      <c r="A199" s="26"/>
      <c r="B199" s="26"/>
      <c r="C199" s="26"/>
      <c r="D199" s="26"/>
      <c r="E199" s="27"/>
      <c r="F199" s="27"/>
      <c r="G199" s="27"/>
      <c r="H199" s="28"/>
    </row>
    <row r="200" spans="1:8" ht="14.25">
      <c r="A200" s="26"/>
      <c r="B200" s="26"/>
      <c r="C200" s="26"/>
      <c r="D200" s="26"/>
      <c r="E200" s="27"/>
      <c r="F200" s="27"/>
      <c r="G200" s="27"/>
      <c r="H200" s="28"/>
    </row>
    <row r="201" spans="1:8" ht="14.25">
      <c r="A201" s="26"/>
      <c r="B201" s="26"/>
      <c r="C201" s="26"/>
      <c r="D201" s="26"/>
      <c r="E201" s="27"/>
      <c r="F201" s="27"/>
      <c r="G201" s="27"/>
      <c r="H201" s="28"/>
    </row>
    <row r="202" spans="1:8" ht="14.25">
      <c r="A202" s="26"/>
      <c r="B202" s="26"/>
      <c r="C202" s="26"/>
      <c r="D202" s="26"/>
      <c r="E202" s="27"/>
      <c r="F202" s="27"/>
      <c r="G202" s="27"/>
      <c r="H202" s="28"/>
    </row>
    <row r="203" spans="1:8" ht="14.25">
      <c r="A203" s="26"/>
      <c r="B203" s="26"/>
      <c r="C203" s="26"/>
      <c r="D203" s="26"/>
      <c r="E203" s="27"/>
      <c r="F203" s="27"/>
      <c r="G203" s="27"/>
      <c r="H203" s="28"/>
    </row>
    <row r="204" spans="1:8" ht="14.25">
      <c r="A204" s="26"/>
      <c r="B204" s="26"/>
      <c r="C204" s="26"/>
      <c r="D204" s="26"/>
      <c r="E204" s="27"/>
      <c r="F204" s="27"/>
      <c r="G204" s="27"/>
      <c r="H204" s="28"/>
    </row>
    <row r="205" spans="1:8" ht="14.25">
      <c r="A205" s="26"/>
      <c r="B205" s="26"/>
      <c r="C205" s="26"/>
      <c r="D205" s="26"/>
      <c r="E205" s="27"/>
      <c r="F205" s="27"/>
      <c r="G205" s="27"/>
      <c r="H205" s="28"/>
    </row>
    <row r="206" spans="1:8" ht="14.25">
      <c r="A206" s="26"/>
      <c r="B206" s="26"/>
      <c r="C206" s="26"/>
      <c r="D206" s="26"/>
      <c r="E206" s="27"/>
      <c r="F206" s="27"/>
      <c r="G206" s="27"/>
      <c r="H206" s="28"/>
    </row>
    <row r="207" spans="1:8" ht="14.25">
      <c r="A207" s="26"/>
      <c r="B207" s="26"/>
      <c r="C207" s="26"/>
      <c r="D207" s="26"/>
      <c r="E207" s="27"/>
      <c r="F207" s="27"/>
      <c r="G207" s="27"/>
      <c r="H207" s="28"/>
    </row>
    <row r="208" spans="1:8" ht="14.25">
      <c r="A208" s="26"/>
      <c r="B208" s="26"/>
      <c r="C208" s="26"/>
      <c r="D208" s="26"/>
      <c r="E208" s="27"/>
      <c r="F208" s="27"/>
      <c r="G208" s="27"/>
      <c r="H208" s="28"/>
    </row>
    <row r="209" spans="1:8" ht="14.25">
      <c r="A209" s="26"/>
      <c r="B209" s="26"/>
      <c r="C209" s="26"/>
      <c r="D209" s="26"/>
      <c r="E209" s="27"/>
      <c r="F209" s="27"/>
      <c r="G209" s="27"/>
      <c r="H209" s="28"/>
    </row>
    <row r="210" spans="1:8" ht="14.25">
      <c r="A210" s="26"/>
      <c r="B210" s="26"/>
      <c r="C210" s="26"/>
      <c r="D210" s="26"/>
      <c r="E210" s="27"/>
      <c r="F210" s="27"/>
      <c r="G210" s="27"/>
      <c r="H210" s="28"/>
    </row>
    <row r="211" spans="1:8" ht="14.25">
      <c r="A211" s="26"/>
      <c r="B211" s="26"/>
      <c r="C211" s="26"/>
      <c r="D211" s="26"/>
      <c r="E211" s="27"/>
      <c r="F211" s="27"/>
      <c r="G211" s="27"/>
      <c r="H211" s="28"/>
    </row>
    <row r="212" spans="1:8" ht="14.25">
      <c r="A212" s="26"/>
      <c r="B212" s="26"/>
      <c r="C212" s="26"/>
      <c r="D212" s="26"/>
      <c r="E212" s="27"/>
      <c r="F212" s="27"/>
      <c r="G212" s="27"/>
      <c r="H212" s="28"/>
    </row>
    <row r="213" spans="1:8" ht="14.25">
      <c r="A213" s="26"/>
      <c r="B213" s="26"/>
      <c r="C213" s="26"/>
      <c r="D213" s="26"/>
      <c r="E213" s="27"/>
      <c r="F213" s="27"/>
      <c r="G213" s="27"/>
      <c r="H213" s="28"/>
    </row>
    <row r="214" spans="1:8" ht="14.25">
      <c r="A214" s="26"/>
      <c r="B214" s="26"/>
      <c r="C214" s="26"/>
      <c r="D214" s="26"/>
      <c r="E214" s="27"/>
      <c r="F214" s="27"/>
      <c r="G214" s="27"/>
      <c r="H214" s="28"/>
    </row>
    <row r="215" spans="1:8" ht="14.25">
      <c r="A215" s="26"/>
      <c r="B215" s="26"/>
      <c r="C215" s="26"/>
      <c r="D215" s="26"/>
      <c r="E215" s="27"/>
      <c r="F215" s="27"/>
      <c r="G215" s="27"/>
      <c r="H215" s="28"/>
    </row>
    <row r="216" spans="1:8" ht="14.25">
      <c r="A216" s="26"/>
      <c r="B216" s="26"/>
      <c r="C216" s="26"/>
      <c r="D216" s="26"/>
      <c r="E216" s="27"/>
      <c r="F216" s="27"/>
      <c r="G216" s="27"/>
      <c r="H216" s="28"/>
    </row>
    <row r="217" spans="1:8" ht="14.25">
      <c r="A217" s="26"/>
      <c r="B217" s="26"/>
      <c r="C217" s="26"/>
      <c r="D217" s="26"/>
      <c r="E217" s="27"/>
      <c r="F217" s="27"/>
      <c r="G217" s="27"/>
      <c r="H217" s="28"/>
    </row>
    <row r="218" spans="1:8" ht="14.25">
      <c r="A218" s="26"/>
      <c r="B218" s="26"/>
      <c r="C218" s="26"/>
      <c r="D218" s="26"/>
      <c r="E218" s="27"/>
      <c r="F218" s="27"/>
      <c r="G218" s="27"/>
      <c r="H218" s="28"/>
    </row>
    <row r="219" spans="1:8" ht="14.25">
      <c r="A219" s="26"/>
      <c r="B219" s="26"/>
      <c r="C219" s="26"/>
      <c r="D219" s="26"/>
      <c r="E219" s="27"/>
      <c r="F219" s="27"/>
      <c r="G219" s="27"/>
      <c r="H219" s="28"/>
    </row>
    <row r="220" spans="1:8" ht="14.25">
      <c r="A220" s="26"/>
      <c r="B220" s="26"/>
      <c r="C220" s="26"/>
      <c r="D220" s="26"/>
      <c r="E220" s="27"/>
      <c r="F220" s="27"/>
      <c r="G220" s="27"/>
      <c r="H220" s="28"/>
    </row>
    <row r="221" spans="1:8" ht="14.25">
      <c r="A221" s="26"/>
      <c r="B221" s="26"/>
      <c r="C221" s="26"/>
      <c r="D221" s="26"/>
      <c r="E221" s="27"/>
      <c r="F221" s="27"/>
      <c r="G221" s="27"/>
      <c r="H221" s="28"/>
    </row>
    <row r="222" spans="1:8" ht="14.25">
      <c r="A222" s="26"/>
      <c r="B222" s="26"/>
      <c r="C222" s="26"/>
      <c r="D222" s="26"/>
      <c r="E222" s="27"/>
      <c r="F222" s="27"/>
      <c r="G222" s="27"/>
      <c r="H222" s="28"/>
    </row>
    <row r="223" spans="1:8" ht="14.25">
      <c r="A223" s="26"/>
      <c r="B223" s="26"/>
      <c r="C223" s="26"/>
      <c r="D223" s="26"/>
      <c r="E223" s="27"/>
      <c r="F223" s="27"/>
      <c r="G223" s="27"/>
      <c r="H223" s="28"/>
    </row>
    <row r="224" spans="1:8" ht="14.25">
      <c r="A224" s="26"/>
      <c r="B224" s="26"/>
      <c r="C224" s="26"/>
      <c r="D224" s="26"/>
      <c r="E224" s="27"/>
      <c r="F224" s="27"/>
      <c r="G224" s="27"/>
      <c r="H224" s="28"/>
    </row>
    <row r="225" spans="1:8" ht="14.25">
      <c r="A225" s="26"/>
      <c r="B225" s="26"/>
      <c r="C225" s="26"/>
      <c r="D225" s="26"/>
      <c r="E225" s="27"/>
      <c r="F225" s="27"/>
      <c r="G225" s="27"/>
      <c r="H225" s="28"/>
    </row>
    <row r="226" spans="1:8" ht="14.25">
      <c r="A226" s="26"/>
      <c r="B226" s="26"/>
      <c r="C226" s="26"/>
      <c r="D226" s="26"/>
      <c r="E226" s="27"/>
      <c r="F226" s="27"/>
      <c r="G226" s="27"/>
      <c r="H226" s="28"/>
    </row>
    <row r="227" spans="1:8" ht="14.25">
      <c r="A227" s="26"/>
      <c r="B227" s="26"/>
      <c r="C227" s="26"/>
      <c r="D227" s="26"/>
      <c r="E227" s="27"/>
      <c r="F227" s="27"/>
      <c r="G227" s="27"/>
      <c r="H227" s="28"/>
    </row>
    <row r="228" spans="1:8" ht="14.25">
      <c r="A228" s="26"/>
      <c r="B228" s="26"/>
      <c r="C228" s="26"/>
      <c r="D228" s="26"/>
      <c r="E228" s="27"/>
      <c r="F228" s="27"/>
      <c r="G228" s="27"/>
      <c r="H228" s="28"/>
    </row>
    <row r="229" spans="1:8" ht="14.25">
      <c r="A229" s="26"/>
      <c r="B229" s="26"/>
      <c r="C229" s="26"/>
      <c r="D229" s="26"/>
      <c r="E229" s="27"/>
      <c r="F229" s="27"/>
      <c r="G229" s="27"/>
      <c r="H229" s="28"/>
    </row>
    <row r="230" spans="1:8" ht="14.25">
      <c r="A230" s="26"/>
      <c r="B230" s="26"/>
      <c r="C230" s="26"/>
      <c r="D230" s="26"/>
      <c r="E230" s="27"/>
      <c r="F230" s="27"/>
      <c r="G230" s="27"/>
      <c r="H230" s="28"/>
    </row>
    <row r="231" spans="1:8" ht="14.25">
      <c r="A231" s="26"/>
      <c r="B231" s="26"/>
      <c r="C231" s="26"/>
      <c r="D231" s="26"/>
      <c r="E231" s="27"/>
      <c r="F231" s="27"/>
      <c r="G231" s="27"/>
      <c r="H231" s="28"/>
    </row>
    <row r="232" spans="1:8" ht="14.25">
      <c r="A232" s="26"/>
      <c r="B232" s="26"/>
      <c r="C232" s="26"/>
      <c r="D232" s="26"/>
      <c r="E232" s="27"/>
      <c r="F232" s="27"/>
      <c r="G232" s="27"/>
      <c r="H232" s="28"/>
    </row>
    <row r="233" spans="1:8" ht="14.25">
      <c r="A233" s="26"/>
      <c r="B233" s="26"/>
      <c r="C233" s="26"/>
      <c r="D233" s="26"/>
      <c r="E233" s="27"/>
      <c r="F233" s="27"/>
      <c r="G233" s="27"/>
      <c r="H233" s="28"/>
    </row>
    <row r="234" spans="1:8" ht="14.25">
      <c r="A234" s="26"/>
      <c r="B234" s="26"/>
      <c r="C234" s="26"/>
      <c r="D234" s="26"/>
      <c r="E234" s="27"/>
      <c r="F234" s="27"/>
      <c r="G234" s="27"/>
      <c r="H234" s="28"/>
    </row>
    <row r="235" spans="1:8" ht="14.25">
      <c r="A235" s="26"/>
      <c r="B235" s="26"/>
      <c r="C235" s="26"/>
      <c r="D235" s="26"/>
      <c r="E235" s="27"/>
      <c r="F235" s="27"/>
      <c r="G235" s="27"/>
      <c r="H235" s="28"/>
    </row>
    <row r="236" spans="1:8" ht="14.25">
      <c r="A236" s="26"/>
      <c r="B236" s="26"/>
      <c r="C236" s="26"/>
      <c r="D236" s="26"/>
      <c r="E236" s="27"/>
      <c r="F236" s="27"/>
      <c r="G236" s="27"/>
      <c r="H236" s="28"/>
    </row>
    <row r="237" spans="1:8" ht="14.25">
      <c r="A237" s="26"/>
      <c r="B237" s="26"/>
      <c r="C237" s="26"/>
      <c r="D237" s="26"/>
      <c r="E237" s="27"/>
      <c r="F237" s="27"/>
      <c r="G237" s="27"/>
      <c r="H237" s="28"/>
    </row>
    <row r="238" spans="1:8" ht="14.25">
      <c r="A238" s="26"/>
      <c r="B238" s="26"/>
      <c r="C238" s="26"/>
      <c r="D238" s="26"/>
      <c r="E238" s="27"/>
      <c r="F238" s="27"/>
      <c r="G238" s="27"/>
      <c r="H238" s="28"/>
    </row>
    <row r="239" spans="1:8" ht="14.25">
      <c r="A239" s="26"/>
      <c r="B239" s="26"/>
      <c r="C239" s="26"/>
      <c r="D239" s="26"/>
      <c r="E239" s="27"/>
      <c r="F239" s="27"/>
      <c r="G239" s="27"/>
      <c r="H239" s="28"/>
    </row>
    <row r="240" spans="1:8" ht="14.25">
      <c r="A240" s="26"/>
      <c r="B240" s="26"/>
      <c r="C240" s="26"/>
      <c r="D240" s="26"/>
      <c r="E240" s="27"/>
      <c r="F240" s="27"/>
      <c r="G240" s="27"/>
      <c r="H240" s="28"/>
    </row>
    <row r="241" spans="1:8" ht="14.25">
      <c r="A241" s="26"/>
      <c r="B241" s="26"/>
      <c r="C241" s="26"/>
      <c r="D241" s="26"/>
      <c r="E241" s="27"/>
      <c r="F241" s="27"/>
      <c r="G241" s="27"/>
      <c r="H241" s="28"/>
    </row>
    <row r="242" spans="1:8" ht="14.25">
      <c r="A242" s="26"/>
      <c r="B242" s="26"/>
      <c r="C242" s="26"/>
      <c r="D242" s="26"/>
      <c r="E242" s="27"/>
      <c r="F242" s="27"/>
      <c r="G242" s="27"/>
      <c r="H242" s="28"/>
    </row>
    <row r="243" spans="1:8" ht="14.25">
      <c r="A243" s="26"/>
      <c r="B243" s="26"/>
      <c r="C243" s="26"/>
      <c r="D243" s="26"/>
      <c r="E243" s="27"/>
      <c r="F243" s="27"/>
      <c r="G243" s="27"/>
      <c r="H243" s="28"/>
    </row>
    <row r="244" spans="1:8" ht="14.25">
      <c r="A244" s="26"/>
      <c r="B244" s="26"/>
      <c r="C244" s="26"/>
      <c r="D244" s="26"/>
      <c r="E244" s="27"/>
      <c r="F244" s="27"/>
      <c r="G244" s="27"/>
      <c r="H244" s="28"/>
    </row>
    <row r="245" spans="1:8" ht="14.25">
      <c r="A245" s="26"/>
      <c r="B245" s="26"/>
      <c r="C245" s="26"/>
      <c r="D245" s="26"/>
      <c r="E245" s="27"/>
      <c r="F245" s="27"/>
      <c r="G245" s="27"/>
      <c r="H245" s="28"/>
    </row>
    <row r="246" spans="1:8" ht="14.25">
      <c r="A246" s="26"/>
      <c r="B246" s="26"/>
      <c r="C246" s="26"/>
      <c r="D246" s="26"/>
      <c r="E246" s="27"/>
      <c r="F246" s="27"/>
      <c r="G246" s="27"/>
      <c r="H246" s="28"/>
    </row>
    <row r="247" spans="1:8" ht="14.25">
      <c r="A247" s="26"/>
      <c r="B247" s="26"/>
      <c r="C247" s="26"/>
      <c r="D247" s="26"/>
      <c r="E247" s="27"/>
      <c r="F247" s="27"/>
      <c r="G247" s="27"/>
      <c r="H247" s="28"/>
    </row>
    <row r="248" spans="1:8" ht="14.25">
      <c r="A248" s="26"/>
      <c r="B248" s="26"/>
      <c r="C248" s="26"/>
      <c r="D248" s="26"/>
      <c r="E248" s="27"/>
      <c r="F248" s="27"/>
      <c r="G248" s="27"/>
      <c r="H248" s="28"/>
    </row>
    <row r="249" spans="1:8" ht="14.25">
      <c r="A249" s="26"/>
      <c r="B249" s="26"/>
      <c r="C249" s="26"/>
      <c r="D249" s="26"/>
      <c r="E249" s="27"/>
      <c r="F249" s="27"/>
      <c r="G249" s="27"/>
      <c r="H249" s="28"/>
    </row>
    <row r="250" spans="1:8" ht="14.25">
      <c r="A250" s="26"/>
      <c r="B250" s="26"/>
      <c r="C250" s="26"/>
      <c r="D250" s="26"/>
      <c r="E250" s="27"/>
      <c r="F250" s="27"/>
      <c r="G250" s="27"/>
      <c r="H250" s="28"/>
    </row>
    <row r="251" spans="1:8" ht="14.25">
      <c r="A251" s="26"/>
      <c r="B251" s="26"/>
      <c r="C251" s="26"/>
      <c r="D251" s="26"/>
      <c r="E251" s="27"/>
      <c r="F251" s="27"/>
      <c r="G251" s="27"/>
      <c r="H251" s="28"/>
    </row>
    <row r="252" spans="1:8" ht="14.25">
      <c r="A252" s="26"/>
      <c r="B252" s="26"/>
      <c r="C252" s="26"/>
      <c r="D252" s="26"/>
      <c r="E252" s="27"/>
      <c r="F252" s="27"/>
      <c r="G252" s="27"/>
      <c r="H252" s="28"/>
    </row>
    <row r="253" spans="1:8" ht="14.25">
      <c r="A253" s="26"/>
      <c r="B253" s="26"/>
      <c r="C253" s="26"/>
      <c r="D253" s="26"/>
      <c r="E253" s="27"/>
      <c r="F253" s="27"/>
      <c r="G253" s="27"/>
      <c r="H253" s="28"/>
    </row>
    <row r="254" spans="1:8" ht="14.25">
      <c r="A254" s="26"/>
      <c r="B254" s="26"/>
      <c r="C254" s="26"/>
      <c r="D254" s="26"/>
      <c r="E254" s="27"/>
      <c r="F254" s="27"/>
      <c r="G254" s="27"/>
      <c r="H254" s="28"/>
    </row>
    <row r="255" spans="1:8" ht="14.25">
      <c r="A255" s="26"/>
      <c r="B255" s="26"/>
      <c r="C255" s="26"/>
      <c r="D255" s="26"/>
      <c r="E255" s="27"/>
      <c r="F255" s="27"/>
      <c r="G255" s="27"/>
      <c r="H255" s="28"/>
    </row>
    <row r="256" spans="1:8" ht="14.25">
      <c r="A256" s="26"/>
      <c r="B256" s="26"/>
      <c r="C256" s="26"/>
      <c r="D256" s="26"/>
      <c r="E256" s="27"/>
      <c r="F256" s="27"/>
      <c r="G256" s="27"/>
      <c r="H256" s="28"/>
    </row>
    <row r="257" spans="1:8" ht="14.25">
      <c r="A257" s="26"/>
      <c r="B257" s="26"/>
      <c r="C257" s="26"/>
      <c r="D257" s="26"/>
      <c r="E257" s="27"/>
      <c r="F257" s="27"/>
      <c r="G257" s="27"/>
      <c r="H257" s="28"/>
    </row>
    <row r="258" spans="1:8" ht="14.25">
      <c r="A258" s="26"/>
      <c r="B258" s="26"/>
      <c r="C258" s="26"/>
      <c r="D258" s="26"/>
      <c r="E258" s="27"/>
      <c r="F258" s="27"/>
      <c r="G258" s="27"/>
      <c r="H258" s="28"/>
    </row>
    <row r="259" spans="1:8" ht="14.25">
      <c r="A259" s="26"/>
      <c r="B259" s="26"/>
      <c r="C259" s="26"/>
      <c r="D259" s="26"/>
      <c r="E259" s="27"/>
      <c r="F259" s="27"/>
      <c r="G259" s="27"/>
      <c r="H259" s="28"/>
    </row>
    <row r="260" spans="1:8" ht="14.25">
      <c r="A260" s="26"/>
      <c r="B260" s="26"/>
      <c r="C260" s="26"/>
      <c r="D260" s="26"/>
      <c r="E260" s="27"/>
      <c r="F260" s="27"/>
      <c r="G260" s="27"/>
      <c r="H260" s="28"/>
    </row>
    <row r="261" spans="1:8" ht="14.25">
      <c r="A261" s="26"/>
      <c r="B261" s="26"/>
      <c r="C261" s="26"/>
      <c r="D261" s="26"/>
      <c r="E261" s="27"/>
      <c r="F261" s="27"/>
      <c r="G261" s="27"/>
      <c r="H261" s="28"/>
    </row>
    <row r="262" spans="1:8" ht="14.25">
      <c r="A262" s="26"/>
      <c r="B262" s="26"/>
      <c r="C262" s="26"/>
      <c r="D262" s="26"/>
      <c r="E262" s="27"/>
      <c r="F262" s="27"/>
      <c r="G262" s="27"/>
      <c r="H262" s="28"/>
    </row>
    <row r="263" spans="1:8" ht="14.25">
      <c r="A263" s="26"/>
      <c r="B263" s="26"/>
      <c r="C263" s="26"/>
      <c r="D263" s="26"/>
      <c r="E263" s="27"/>
      <c r="F263" s="27"/>
      <c r="G263" s="27"/>
      <c r="H263" s="28"/>
    </row>
    <row r="264" spans="1:8" ht="14.25">
      <c r="A264" s="26"/>
      <c r="B264" s="26"/>
      <c r="C264" s="26"/>
      <c r="D264" s="26"/>
      <c r="E264" s="27"/>
      <c r="F264" s="27"/>
      <c r="G264" s="27"/>
      <c r="H264" s="28"/>
    </row>
    <row r="265" spans="1:8" ht="14.25">
      <c r="A265" s="26"/>
      <c r="B265" s="26"/>
      <c r="C265" s="26"/>
      <c r="D265" s="26"/>
      <c r="E265" s="27"/>
      <c r="F265" s="27"/>
      <c r="G265" s="27"/>
      <c r="H265" s="28"/>
    </row>
    <row r="266" spans="1:8" ht="14.25">
      <c r="A266" s="26"/>
      <c r="B266" s="26"/>
      <c r="C266" s="26"/>
      <c r="D266" s="26"/>
      <c r="E266" s="27"/>
      <c r="F266" s="27"/>
      <c r="G266" s="27"/>
      <c r="H266" s="28"/>
    </row>
    <row r="267" spans="1:8" ht="14.25">
      <c r="A267" s="26"/>
      <c r="B267" s="26"/>
      <c r="C267" s="26"/>
      <c r="D267" s="26"/>
      <c r="E267" s="27"/>
      <c r="F267" s="27"/>
      <c r="G267" s="27"/>
      <c r="H267" s="28"/>
    </row>
    <row r="268" spans="1:8" ht="14.25">
      <c r="A268" s="26"/>
      <c r="B268" s="26"/>
      <c r="C268" s="26"/>
      <c r="D268" s="26"/>
      <c r="E268" s="27"/>
      <c r="F268" s="27"/>
      <c r="G268" s="27"/>
      <c r="H268" s="28"/>
    </row>
    <row r="269" spans="1:8" ht="14.25">
      <c r="A269" s="26"/>
      <c r="B269" s="26"/>
      <c r="C269" s="26"/>
      <c r="D269" s="26"/>
      <c r="E269" s="27"/>
      <c r="F269" s="27"/>
      <c r="G269" s="27"/>
      <c r="H269" s="28"/>
    </row>
    <row r="270" spans="1:8" ht="14.25">
      <c r="A270" s="26"/>
      <c r="B270" s="26"/>
      <c r="C270" s="26"/>
      <c r="D270" s="26"/>
      <c r="E270" s="27"/>
      <c r="F270" s="27"/>
      <c r="G270" s="27"/>
      <c r="H270" s="28"/>
    </row>
    <row r="271" spans="1:8" ht="14.25">
      <c r="A271" s="26"/>
      <c r="B271" s="26"/>
      <c r="C271" s="26"/>
      <c r="D271" s="26"/>
      <c r="E271" s="27"/>
      <c r="F271" s="27"/>
      <c r="G271" s="27"/>
      <c r="H271" s="28"/>
    </row>
    <row r="272" spans="1:8" ht="14.25">
      <c r="A272" s="26"/>
      <c r="B272" s="26"/>
      <c r="C272" s="26"/>
      <c r="D272" s="26"/>
      <c r="E272" s="27"/>
      <c r="F272" s="27"/>
      <c r="G272" s="27"/>
      <c r="H272" s="28"/>
    </row>
    <row r="273" spans="1:8" ht="14.25">
      <c r="A273" s="26"/>
      <c r="B273" s="26"/>
      <c r="C273" s="26"/>
      <c r="D273" s="26"/>
      <c r="E273" s="27"/>
      <c r="F273" s="27"/>
      <c r="G273" s="27"/>
      <c r="H273" s="28"/>
    </row>
    <row r="274" spans="1:8" ht="14.25">
      <c r="A274" s="26"/>
      <c r="B274" s="26"/>
      <c r="C274" s="26"/>
      <c r="D274" s="26"/>
      <c r="E274" s="27"/>
      <c r="F274" s="27"/>
      <c r="G274" s="27"/>
      <c r="H274" s="28"/>
    </row>
    <row r="275" spans="1:8" ht="14.25">
      <c r="A275" s="26"/>
      <c r="B275" s="26"/>
      <c r="C275" s="26"/>
      <c r="D275" s="26"/>
      <c r="E275" s="27"/>
      <c r="F275" s="27"/>
      <c r="G275" s="27"/>
      <c r="H275" s="28"/>
    </row>
    <row r="276" spans="1:8" ht="14.25">
      <c r="A276" s="26"/>
      <c r="B276" s="26"/>
      <c r="C276" s="26"/>
      <c r="D276" s="26"/>
      <c r="E276" s="27"/>
      <c r="F276" s="27"/>
      <c r="G276" s="27"/>
      <c r="H276" s="28"/>
    </row>
    <row r="277" spans="1:8" ht="14.25">
      <c r="A277" s="26"/>
      <c r="B277" s="26"/>
      <c r="C277" s="26"/>
      <c r="D277" s="26"/>
      <c r="E277" s="27"/>
      <c r="F277" s="27"/>
      <c r="G277" s="27"/>
      <c r="H277" s="28"/>
    </row>
    <row r="278" spans="1:8" ht="14.25">
      <c r="A278" s="26"/>
      <c r="B278" s="26"/>
      <c r="C278" s="26"/>
      <c r="D278" s="26"/>
      <c r="E278" s="27"/>
      <c r="F278" s="27"/>
      <c r="G278" s="27"/>
      <c r="H278" s="28"/>
    </row>
    <row r="279" spans="1:8" ht="14.25">
      <c r="A279" s="26"/>
      <c r="B279" s="26"/>
      <c r="C279" s="26"/>
      <c r="D279" s="26"/>
      <c r="E279" s="27"/>
      <c r="F279" s="27"/>
      <c r="G279" s="27"/>
      <c r="H279" s="28"/>
    </row>
    <row r="280" spans="1:8" ht="14.25">
      <c r="A280" s="26"/>
      <c r="B280" s="26"/>
      <c r="C280" s="26"/>
      <c r="D280" s="26"/>
      <c r="E280" s="27"/>
      <c r="F280" s="27"/>
      <c r="G280" s="27"/>
      <c r="H280" s="28"/>
    </row>
    <row r="281" spans="1:8" ht="14.25">
      <c r="A281" s="26"/>
      <c r="B281" s="26"/>
      <c r="C281" s="26"/>
      <c r="D281" s="26"/>
      <c r="E281" s="27"/>
      <c r="F281" s="27"/>
      <c r="G281" s="27"/>
      <c r="H281" s="28"/>
    </row>
    <row r="282" spans="1:8" ht="14.25">
      <c r="A282" s="26"/>
      <c r="B282" s="26"/>
      <c r="C282" s="26"/>
      <c r="D282" s="26"/>
      <c r="E282" s="27"/>
      <c r="F282" s="27"/>
      <c r="G282" s="27"/>
      <c r="H282" s="28"/>
    </row>
    <row r="283" spans="1:8" ht="14.25">
      <c r="A283" s="26"/>
      <c r="B283" s="26"/>
      <c r="C283" s="26"/>
      <c r="D283" s="26"/>
      <c r="E283" s="27"/>
      <c r="F283" s="27"/>
      <c r="G283" s="27"/>
      <c r="H283" s="28"/>
    </row>
    <row r="284" spans="1:8" ht="14.25">
      <c r="A284" s="26"/>
      <c r="B284" s="26"/>
      <c r="C284" s="26"/>
      <c r="D284" s="26"/>
      <c r="E284" s="27"/>
      <c r="F284" s="27"/>
      <c r="G284" s="27"/>
      <c r="H284" s="28"/>
    </row>
    <row r="285" spans="1:8" ht="14.25">
      <c r="A285" s="26"/>
      <c r="B285" s="26"/>
      <c r="C285" s="26"/>
      <c r="D285" s="26"/>
      <c r="E285" s="27"/>
      <c r="F285" s="27"/>
      <c r="G285" s="27"/>
      <c r="H285" s="28"/>
    </row>
    <row r="286" spans="1:8" ht="14.25">
      <c r="A286" s="26"/>
      <c r="B286" s="26"/>
      <c r="C286" s="26"/>
      <c r="D286" s="26"/>
      <c r="E286" s="27"/>
      <c r="F286" s="27"/>
      <c r="G286" s="27"/>
      <c r="H286" s="28"/>
    </row>
    <row r="287" spans="1:8" ht="14.25">
      <c r="A287" s="26"/>
      <c r="B287" s="26"/>
      <c r="C287" s="26"/>
      <c r="D287" s="26"/>
      <c r="E287" s="27"/>
      <c r="F287" s="27"/>
      <c r="G287" s="27"/>
      <c r="H287" s="28"/>
    </row>
    <row r="288" spans="1:8" ht="14.25">
      <c r="A288" s="26"/>
      <c r="B288" s="26"/>
      <c r="C288" s="26"/>
      <c r="D288" s="26"/>
      <c r="E288" s="27"/>
      <c r="F288" s="27"/>
      <c r="G288" s="27"/>
      <c r="H288" s="28"/>
    </row>
    <row r="289" spans="1:8" ht="14.25">
      <c r="A289" s="26"/>
      <c r="B289" s="26"/>
      <c r="C289" s="26"/>
      <c r="D289" s="26"/>
      <c r="E289" s="27"/>
      <c r="F289" s="27"/>
      <c r="G289" s="27"/>
      <c r="H289" s="28"/>
    </row>
    <row r="290" spans="1:8" ht="14.25">
      <c r="A290" s="26"/>
      <c r="B290" s="26"/>
      <c r="C290" s="26"/>
      <c r="D290" s="26"/>
      <c r="E290" s="27"/>
      <c r="F290" s="27"/>
      <c r="G290" s="27"/>
      <c r="H290" s="28"/>
    </row>
    <row r="291" spans="1:8" ht="14.25">
      <c r="A291" s="26"/>
      <c r="B291" s="26"/>
      <c r="C291" s="26"/>
      <c r="D291" s="26"/>
      <c r="E291" s="27"/>
      <c r="F291" s="27"/>
      <c r="G291" s="27"/>
      <c r="H291" s="28"/>
    </row>
    <row r="292" spans="1:8" ht="14.25">
      <c r="A292" s="26"/>
      <c r="B292" s="26"/>
      <c r="C292" s="26"/>
      <c r="D292" s="26"/>
      <c r="E292" s="27"/>
      <c r="F292" s="27"/>
      <c r="G292" s="27"/>
      <c r="H292" s="28"/>
    </row>
    <row r="293" spans="1:8" ht="14.25">
      <c r="A293" s="26"/>
      <c r="B293" s="26"/>
      <c r="C293" s="26"/>
      <c r="D293" s="26"/>
      <c r="E293" s="27"/>
      <c r="F293" s="27"/>
      <c r="G293" s="27"/>
      <c r="H293" s="28"/>
    </row>
    <row r="294" spans="1:8" ht="14.25">
      <c r="A294" s="26"/>
      <c r="B294" s="26"/>
      <c r="C294" s="26"/>
      <c r="D294" s="26"/>
      <c r="E294" s="27"/>
      <c r="F294" s="27"/>
      <c r="G294" s="27"/>
      <c r="H294" s="28"/>
    </row>
    <row r="295" spans="1:8" ht="14.25">
      <c r="A295" s="26"/>
      <c r="B295" s="26"/>
      <c r="C295" s="26"/>
      <c r="D295" s="26"/>
      <c r="E295" s="27"/>
      <c r="F295" s="27"/>
      <c r="G295" s="27"/>
      <c r="H295" s="28"/>
    </row>
    <row r="296" spans="1:8" ht="14.25">
      <c r="A296" s="26"/>
      <c r="B296" s="26"/>
      <c r="C296" s="26"/>
      <c r="D296" s="26"/>
      <c r="E296" s="27"/>
      <c r="F296" s="27"/>
      <c r="G296" s="27"/>
      <c r="H296" s="28"/>
    </row>
    <row r="297" spans="1:8" ht="14.25">
      <c r="A297" s="26"/>
      <c r="B297" s="26"/>
      <c r="C297" s="26"/>
      <c r="D297" s="26"/>
      <c r="E297" s="27"/>
      <c r="F297" s="27"/>
      <c r="G297" s="27"/>
      <c r="H297" s="28"/>
    </row>
    <row r="298" spans="1:8" ht="14.25">
      <c r="A298" s="26"/>
      <c r="B298" s="26"/>
      <c r="C298" s="26"/>
      <c r="D298" s="26"/>
      <c r="E298" s="27"/>
      <c r="F298" s="27"/>
      <c r="G298" s="27"/>
      <c r="H298" s="28"/>
    </row>
    <row r="299" spans="1:8" ht="14.25">
      <c r="A299" s="26"/>
      <c r="B299" s="26"/>
      <c r="C299" s="26"/>
      <c r="D299" s="26"/>
      <c r="E299" s="27"/>
      <c r="F299" s="27"/>
      <c r="G299" s="27"/>
      <c r="H299" s="28"/>
    </row>
    <row r="300" spans="1:8" ht="14.25">
      <c r="A300" s="26"/>
      <c r="B300" s="26"/>
      <c r="C300" s="26"/>
      <c r="D300" s="26"/>
      <c r="E300" s="27"/>
      <c r="F300" s="27"/>
      <c r="G300" s="27"/>
      <c r="H300" s="28"/>
    </row>
    <row r="301" spans="1:8" ht="14.25">
      <c r="A301" s="26"/>
      <c r="B301" s="26"/>
      <c r="C301" s="26"/>
      <c r="D301" s="26"/>
      <c r="E301" s="27"/>
      <c r="F301" s="27"/>
      <c r="G301" s="27"/>
      <c r="H301" s="28"/>
    </row>
    <row r="302" spans="1:8" ht="14.25">
      <c r="A302" s="26"/>
      <c r="B302" s="26"/>
      <c r="C302" s="26"/>
      <c r="D302" s="26"/>
      <c r="E302" s="27"/>
      <c r="F302" s="27"/>
      <c r="G302" s="27"/>
      <c r="H302" s="28"/>
    </row>
    <row r="303" spans="1:8" ht="14.25">
      <c r="A303" s="26"/>
      <c r="B303" s="26"/>
      <c r="C303" s="26"/>
      <c r="D303" s="26"/>
      <c r="E303" s="27"/>
      <c r="F303" s="27"/>
      <c r="G303" s="27"/>
      <c r="H303" s="28"/>
    </row>
    <row r="304" spans="1:8" ht="14.25">
      <c r="A304" s="26"/>
      <c r="B304" s="26"/>
      <c r="C304" s="26"/>
      <c r="D304" s="26"/>
      <c r="E304" s="27"/>
      <c r="F304" s="27"/>
      <c r="G304" s="27"/>
      <c r="H304" s="28"/>
    </row>
    <row r="305" spans="1:8" ht="14.25">
      <c r="A305" s="26"/>
      <c r="B305" s="26"/>
      <c r="C305" s="26"/>
      <c r="D305" s="26"/>
      <c r="E305" s="27"/>
      <c r="F305" s="27"/>
      <c r="G305" s="27"/>
      <c r="H305" s="28"/>
    </row>
    <row r="306" spans="1:8" ht="14.25">
      <c r="A306" s="26"/>
      <c r="B306" s="26"/>
      <c r="C306" s="26"/>
      <c r="D306" s="26"/>
      <c r="E306" s="27"/>
      <c r="F306" s="27"/>
      <c r="G306" s="27"/>
      <c r="H306" s="28"/>
    </row>
    <row r="307" spans="1:8" ht="14.25">
      <c r="A307" s="26"/>
      <c r="B307" s="26"/>
      <c r="C307" s="26"/>
      <c r="D307" s="26"/>
      <c r="E307" s="27"/>
      <c r="F307" s="27"/>
      <c r="G307" s="27"/>
      <c r="H307" s="28"/>
    </row>
    <row r="308" spans="1:8" ht="14.25">
      <c r="A308" s="26"/>
      <c r="B308" s="26"/>
      <c r="C308" s="26"/>
      <c r="D308" s="26"/>
      <c r="E308" s="27"/>
      <c r="F308" s="27"/>
      <c r="G308" s="27"/>
      <c r="H308" s="28"/>
    </row>
    <row r="309" spans="1:8" ht="14.25">
      <c r="A309" s="26"/>
      <c r="B309" s="26"/>
      <c r="C309" s="26"/>
      <c r="D309" s="26"/>
      <c r="E309" s="27"/>
      <c r="F309" s="27"/>
      <c r="G309" s="27"/>
      <c r="H309" s="28"/>
    </row>
    <row r="310" spans="1:8" ht="14.25">
      <c r="A310" s="26"/>
      <c r="B310" s="26"/>
      <c r="C310" s="26"/>
      <c r="D310" s="26"/>
      <c r="E310" s="27"/>
      <c r="F310" s="27"/>
      <c r="G310" s="27"/>
      <c r="H310" s="28"/>
    </row>
    <row r="311" spans="1:8" ht="14.25">
      <c r="A311" s="26"/>
      <c r="B311" s="26"/>
      <c r="C311" s="26"/>
      <c r="D311" s="26"/>
      <c r="E311" s="27"/>
      <c r="F311" s="27"/>
      <c r="G311" s="27"/>
      <c r="H311" s="28"/>
    </row>
    <row r="312" spans="1:8" ht="14.25">
      <c r="A312" s="26"/>
      <c r="B312" s="26"/>
      <c r="C312" s="26"/>
      <c r="D312" s="26"/>
      <c r="E312" s="27"/>
      <c r="F312" s="27"/>
      <c r="G312" s="27"/>
      <c r="H312" s="28"/>
    </row>
    <row r="313" spans="1:8" ht="14.25">
      <c r="A313" s="26"/>
      <c r="B313" s="26"/>
      <c r="C313" s="26"/>
      <c r="D313" s="26"/>
      <c r="E313" s="27"/>
      <c r="F313" s="27"/>
      <c r="G313" s="27"/>
      <c r="H313" s="28"/>
    </row>
    <row r="314" spans="1:8" ht="14.25">
      <c r="A314" s="26"/>
      <c r="B314" s="26"/>
      <c r="C314" s="26"/>
      <c r="D314" s="26"/>
      <c r="E314" s="27"/>
      <c r="F314" s="27"/>
      <c r="G314" s="27"/>
      <c r="H314" s="28"/>
    </row>
    <row r="315" spans="1:8" ht="14.25">
      <c r="A315" s="26"/>
      <c r="B315" s="26"/>
      <c r="C315" s="26"/>
      <c r="D315" s="26"/>
      <c r="E315" s="27"/>
      <c r="F315" s="27"/>
      <c r="G315" s="27"/>
      <c r="H315" s="28"/>
    </row>
    <row r="316" spans="1:8" ht="14.25">
      <c r="A316" s="26"/>
      <c r="B316" s="26"/>
      <c r="C316" s="26"/>
      <c r="D316" s="26"/>
      <c r="E316" s="27"/>
      <c r="F316" s="27"/>
      <c r="G316" s="27"/>
      <c r="H316" s="28"/>
    </row>
    <row r="317" spans="1:8" ht="14.25">
      <c r="A317" s="26"/>
      <c r="B317" s="26"/>
      <c r="C317" s="26"/>
      <c r="D317" s="26"/>
      <c r="E317" s="27"/>
      <c r="F317" s="27"/>
      <c r="G317" s="27"/>
      <c r="H317" s="28"/>
    </row>
    <row r="318" spans="1:8" ht="14.25">
      <c r="A318" s="26"/>
      <c r="B318" s="26"/>
      <c r="C318" s="26"/>
      <c r="D318" s="26"/>
      <c r="E318" s="27"/>
      <c r="F318" s="27"/>
      <c r="G318" s="27"/>
      <c r="H318" s="28"/>
    </row>
    <row r="319" spans="1:8" ht="14.25">
      <c r="A319" s="26"/>
      <c r="B319" s="26"/>
      <c r="C319" s="26"/>
      <c r="D319" s="26"/>
      <c r="E319" s="27"/>
      <c r="F319" s="27"/>
      <c r="G319" s="27"/>
      <c r="H319" s="28"/>
    </row>
    <row r="320" spans="1:8" ht="14.25">
      <c r="A320" s="26"/>
      <c r="B320" s="26"/>
      <c r="C320" s="26"/>
      <c r="D320" s="26"/>
      <c r="E320" s="27"/>
      <c r="F320" s="27"/>
      <c r="G320" s="27"/>
      <c r="H320" s="28"/>
    </row>
    <row r="321" spans="1:8" ht="14.25">
      <c r="A321" s="26"/>
      <c r="B321" s="26"/>
      <c r="C321" s="26"/>
      <c r="D321" s="26"/>
      <c r="E321" s="27"/>
      <c r="F321" s="27"/>
      <c r="G321" s="27"/>
      <c r="H321" s="28"/>
    </row>
    <row r="322" spans="1:8" ht="14.25">
      <c r="A322" s="26"/>
      <c r="B322" s="26"/>
      <c r="C322" s="26"/>
      <c r="D322" s="26"/>
      <c r="E322" s="27"/>
      <c r="F322" s="27"/>
      <c r="G322" s="27"/>
      <c r="H322" s="28"/>
    </row>
    <row r="323" spans="1:8" ht="14.25">
      <c r="A323" s="26"/>
      <c r="B323" s="26"/>
      <c r="C323" s="26"/>
      <c r="D323" s="26"/>
      <c r="E323" s="27"/>
      <c r="F323" s="27"/>
      <c r="G323" s="27"/>
      <c r="H323" s="28"/>
    </row>
    <row r="324" spans="1:8" ht="14.25">
      <c r="A324" s="26"/>
      <c r="B324" s="26"/>
      <c r="C324" s="26"/>
      <c r="D324" s="26"/>
      <c r="E324" s="27"/>
      <c r="F324" s="27"/>
      <c r="G324" s="27"/>
      <c r="H324" s="28"/>
    </row>
    <row r="325" spans="1:8" ht="14.25">
      <c r="A325" s="26"/>
      <c r="B325" s="26"/>
      <c r="C325" s="26"/>
      <c r="D325" s="26"/>
      <c r="E325" s="27"/>
      <c r="F325" s="27"/>
      <c r="G325" s="27"/>
      <c r="H325" s="28"/>
    </row>
    <row r="326" spans="1:8" ht="14.25">
      <c r="A326" s="26"/>
      <c r="B326" s="26"/>
      <c r="C326" s="26"/>
      <c r="D326" s="26"/>
      <c r="E326" s="27"/>
      <c r="F326" s="27"/>
      <c r="G326" s="27"/>
      <c r="H326" s="28"/>
    </row>
    <row r="327" spans="1:8" ht="14.25">
      <c r="A327" s="26"/>
      <c r="B327" s="26"/>
      <c r="C327" s="26"/>
      <c r="D327" s="26"/>
      <c r="E327" s="27"/>
      <c r="F327" s="27"/>
      <c r="G327" s="27"/>
      <c r="H327" s="28"/>
    </row>
    <row r="328" spans="1:8" ht="14.25">
      <c r="A328" s="26"/>
      <c r="B328" s="26"/>
      <c r="C328" s="26"/>
      <c r="D328" s="26"/>
      <c r="E328" s="27"/>
      <c r="F328" s="27"/>
      <c r="G328" s="27"/>
      <c r="H328" s="28"/>
    </row>
    <row r="329" spans="1:8" ht="14.25">
      <c r="A329" s="26"/>
      <c r="B329" s="26"/>
      <c r="C329" s="26"/>
      <c r="D329" s="26"/>
      <c r="E329" s="27"/>
      <c r="F329" s="27"/>
      <c r="G329" s="27"/>
      <c r="H329" s="28"/>
    </row>
    <row r="330" spans="1:8" ht="14.25">
      <c r="A330" s="26"/>
      <c r="B330" s="26"/>
      <c r="C330" s="26"/>
      <c r="D330" s="26"/>
      <c r="E330" s="27"/>
      <c r="F330" s="27"/>
      <c r="G330" s="27"/>
      <c r="H330" s="28"/>
    </row>
    <row r="331" spans="1:8" ht="14.25">
      <c r="A331" s="26"/>
      <c r="B331" s="26"/>
      <c r="C331" s="26"/>
      <c r="D331" s="26"/>
      <c r="E331" s="27"/>
      <c r="F331" s="27"/>
      <c r="G331" s="27"/>
      <c r="H331" s="28"/>
    </row>
    <row r="332" spans="1:8" ht="14.25">
      <c r="A332" s="26"/>
      <c r="B332" s="26"/>
      <c r="C332" s="26"/>
      <c r="D332" s="26"/>
      <c r="E332" s="27"/>
      <c r="F332" s="27"/>
      <c r="G332" s="27"/>
      <c r="H332" s="28"/>
    </row>
    <row r="333" spans="1:8" ht="14.25">
      <c r="A333" s="26"/>
      <c r="B333" s="26"/>
      <c r="C333" s="26"/>
      <c r="D333" s="26"/>
      <c r="E333" s="27"/>
      <c r="F333" s="27"/>
      <c r="G333" s="27"/>
      <c r="H333" s="28"/>
    </row>
    <row r="334" spans="1:8" ht="14.25">
      <c r="A334" s="26"/>
      <c r="B334" s="26"/>
      <c r="C334" s="26"/>
      <c r="D334" s="26"/>
      <c r="E334" s="27"/>
      <c r="F334" s="27"/>
      <c r="G334" s="27"/>
      <c r="H334" s="28"/>
    </row>
    <row r="335" spans="1:8" ht="14.25">
      <c r="A335" s="26"/>
      <c r="B335" s="26"/>
      <c r="C335" s="26"/>
      <c r="D335" s="26"/>
      <c r="E335" s="27"/>
      <c r="F335" s="27"/>
      <c r="G335" s="27"/>
      <c r="H335" s="28"/>
    </row>
    <row r="336" spans="1:8" ht="14.25">
      <c r="A336" s="26"/>
      <c r="B336" s="26"/>
      <c r="C336" s="26"/>
      <c r="D336" s="26"/>
      <c r="E336" s="27"/>
      <c r="F336" s="27"/>
      <c r="G336" s="27"/>
      <c r="H336" s="28"/>
    </row>
    <row r="337" spans="1:8" ht="14.25">
      <c r="A337" s="26"/>
      <c r="B337" s="26"/>
      <c r="C337" s="26"/>
      <c r="D337" s="26"/>
      <c r="E337" s="27"/>
      <c r="F337" s="27"/>
      <c r="G337" s="27"/>
      <c r="H337" s="28"/>
    </row>
    <row r="338" spans="1:8" ht="14.25">
      <c r="A338" s="26"/>
      <c r="B338" s="26"/>
      <c r="C338" s="26"/>
      <c r="D338" s="26"/>
      <c r="E338" s="27"/>
      <c r="F338" s="27"/>
      <c r="G338" s="27"/>
      <c r="H338" s="28"/>
    </row>
    <row r="339" spans="1:8" ht="14.25">
      <c r="A339" s="26"/>
      <c r="B339" s="26"/>
      <c r="C339" s="26"/>
      <c r="D339" s="26"/>
      <c r="E339" s="27"/>
      <c r="F339" s="27"/>
      <c r="G339" s="27"/>
      <c r="H339" s="28"/>
    </row>
    <row r="340" spans="1:8" ht="14.25">
      <c r="A340" s="26"/>
      <c r="B340" s="26"/>
      <c r="C340" s="26"/>
      <c r="D340" s="26"/>
      <c r="E340" s="27"/>
      <c r="F340" s="27"/>
      <c r="G340" s="27"/>
      <c r="H340" s="28"/>
    </row>
    <row r="341" spans="1:8" ht="14.25">
      <c r="A341" s="26"/>
      <c r="B341" s="26"/>
      <c r="C341" s="26"/>
      <c r="D341" s="26"/>
      <c r="E341" s="27"/>
      <c r="F341" s="27"/>
      <c r="G341" s="27"/>
      <c r="H341" s="28"/>
    </row>
    <row r="342" spans="1:8" ht="14.25">
      <c r="A342" s="26"/>
      <c r="B342" s="26"/>
      <c r="C342" s="26"/>
      <c r="D342" s="26"/>
      <c r="E342" s="27"/>
      <c r="F342" s="27"/>
      <c r="G342" s="27"/>
      <c r="H342" s="28"/>
    </row>
    <row r="343" spans="1:8" ht="14.25">
      <c r="A343" s="26"/>
      <c r="B343" s="26"/>
      <c r="C343" s="26"/>
      <c r="D343" s="26"/>
      <c r="E343" s="27"/>
      <c r="F343" s="27"/>
      <c r="G343" s="27"/>
      <c r="H343" s="28"/>
    </row>
    <row r="344" spans="1:8" ht="14.25">
      <c r="A344" s="26"/>
      <c r="B344" s="26"/>
      <c r="C344" s="26"/>
      <c r="D344" s="26"/>
      <c r="E344" s="27"/>
      <c r="F344" s="27"/>
      <c r="G344" s="27"/>
      <c r="H344" s="28"/>
    </row>
    <row r="345" spans="1:8" ht="14.25">
      <c r="A345" s="26"/>
      <c r="B345" s="26"/>
      <c r="C345" s="26"/>
      <c r="D345" s="26"/>
      <c r="E345" s="27"/>
      <c r="F345" s="27"/>
      <c r="G345" s="27"/>
      <c r="H345" s="28"/>
    </row>
    <row r="346" spans="1:8" ht="14.25">
      <c r="A346" s="26"/>
      <c r="B346" s="26"/>
      <c r="C346" s="26"/>
      <c r="D346" s="26"/>
      <c r="E346" s="27"/>
      <c r="F346" s="27"/>
      <c r="G346" s="27"/>
      <c r="H346" s="28"/>
    </row>
    <row r="347" spans="1:8" ht="14.25">
      <c r="A347" s="26"/>
      <c r="B347" s="26"/>
      <c r="C347" s="26"/>
      <c r="D347" s="26"/>
      <c r="E347" s="27"/>
      <c r="F347" s="27"/>
      <c r="G347" s="27"/>
      <c r="H347" s="28"/>
    </row>
    <row r="348" spans="1:8" ht="14.25">
      <c r="A348" s="26"/>
      <c r="B348" s="26"/>
      <c r="C348" s="26"/>
      <c r="D348" s="26"/>
      <c r="E348" s="27"/>
      <c r="F348" s="27"/>
      <c r="G348" s="27"/>
      <c r="H348" s="28"/>
    </row>
    <row r="349" spans="1:8" ht="14.25">
      <c r="A349" s="26"/>
      <c r="B349" s="26"/>
      <c r="C349" s="26"/>
      <c r="D349" s="26"/>
      <c r="E349" s="27"/>
      <c r="F349" s="27"/>
      <c r="G349" s="27"/>
      <c r="H349" s="28"/>
    </row>
    <row r="350" spans="1:8" ht="14.25">
      <c r="A350" s="26"/>
      <c r="B350" s="26"/>
      <c r="C350" s="26"/>
      <c r="D350" s="26"/>
      <c r="E350" s="27"/>
      <c r="F350" s="27"/>
      <c r="G350" s="27"/>
      <c r="H350" s="28"/>
    </row>
    <row r="351" spans="1:8" ht="14.25">
      <c r="A351" s="26"/>
      <c r="B351" s="26"/>
      <c r="C351" s="26"/>
      <c r="D351" s="26"/>
      <c r="E351" s="27"/>
      <c r="F351" s="27"/>
      <c r="G351" s="27"/>
      <c r="H351" s="28"/>
    </row>
    <row r="352" spans="1:8" ht="14.25">
      <c r="A352" s="26"/>
      <c r="B352" s="26"/>
      <c r="C352" s="26"/>
      <c r="D352" s="26"/>
      <c r="E352" s="27"/>
      <c r="F352" s="27"/>
      <c r="G352" s="27"/>
      <c r="H352" s="28"/>
    </row>
    <row r="353" spans="1:8" ht="14.25">
      <c r="A353" s="26"/>
      <c r="B353" s="26"/>
      <c r="C353" s="26"/>
      <c r="D353" s="26"/>
      <c r="E353" s="27"/>
      <c r="F353" s="27"/>
      <c r="G353" s="27"/>
      <c r="H353" s="28"/>
    </row>
    <row r="354" spans="1:8" ht="14.25">
      <c r="A354" s="26"/>
      <c r="B354" s="26"/>
      <c r="C354" s="26"/>
      <c r="D354" s="26"/>
      <c r="E354" s="27"/>
      <c r="F354" s="27"/>
      <c r="G354" s="27"/>
      <c r="H354" s="28"/>
    </row>
    <row r="355" spans="1:8" ht="14.25">
      <c r="A355" s="26"/>
      <c r="B355" s="26"/>
      <c r="C355" s="26"/>
      <c r="D355" s="26"/>
      <c r="E355" s="27"/>
      <c r="F355" s="27"/>
      <c r="G355" s="27"/>
      <c r="H355" s="28"/>
    </row>
    <row r="356" spans="1:8" ht="14.25">
      <c r="A356" s="26"/>
      <c r="B356" s="26"/>
      <c r="C356" s="26"/>
      <c r="D356" s="26"/>
      <c r="E356" s="27"/>
      <c r="F356" s="27"/>
      <c r="G356" s="27"/>
      <c r="H356" s="28"/>
    </row>
    <row r="357" spans="1:8" ht="14.25">
      <c r="A357" s="26"/>
      <c r="B357" s="26"/>
      <c r="C357" s="26"/>
      <c r="D357" s="26"/>
      <c r="E357" s="27"/>
      <c r="F357" s="27"/>
      <c r="G357" s="27"/>
      <c r="H357" s="28"/>
    </row>
    <row r="358" spans="1:8" ht="14.25">
      <c r="A358" s="26"/>
      <c r="B358" s="26"/>
      <c r="C358" s="26"/>
      <c r="D358" s="26"/>
      <c r="E358" s="27"/>
      <c r="F358" s="27"/>
      <c r="G358" s="27"/>
      <c r="H358" s="28"/>
    </row>
    <row r="359" spans="1:8" ht="14.25">
      <c r="A359" s="26"/>
      <c r="B359" s="26"/>
      <c r="C359" s="26"/>
      <c r="D359" s="26"/>
      <c r="E359" s="27"/>
      <c r="F359" s="27"/>
      <c r="G359" s="27"/>
      <c r="H359" s="28"/>
    </row>
    <row r="360" spans="1:8" ht="14.25">
      <c r="A360" s="26"/>
      <c r="B360" s="26"/>
      <c r="C360" s="26"/>
      <c r="D360" s="26"/>
      <c r="E360" s="27"/>
      <c r="F360" s="27"/>
      <c r="G360" s="27"/>
      <c r="H360" s="28"/>
    </row>
    <row r="361" spans="1:8" ht="14.25">
      <c r="A361" s="26"/>
      <c r="B361" s="26"/>
      <c r="C361" s="26"/>
      <c r="D361" s="26"/>
      <c r="E361" s="27"/>
      <c r="F361" s="27"/>
      <c r="G361" s="27"/>
      <c r="H361" s="28"/>
    </row>
    <row r="362" spans="1:8" ht="14.25">
      <c r="A362" s="26"/>
      <c r="B362" s="26"/>
      <c r="C362" s="26"/>
      <c r="D362" s="26"/>
      <c r="E362" s="27"/>
      <c r="F362" s="27"/>
      <c r="G362" s="27"/>
      <c r="H362" s="28"/>
    </row>
    <row r="363" spans="1:8" ht="14.25">
      <c r="A363" s="26"/>
      <c r="B363" s="26"/>
      <c r="C363" s="26"/>
      <c r="D363" s="26"/>
      <c r="E363" s="27"/>
      <c r="F363" s="27"/>
      <c r="G363" s="27"/>
      <c r="H363" s="28"/>
    </row>
    <row r="364" spans="1:8" ht="14.25">
      <c r="A364" s="26"/>
      <c r="B364" s="26"/>
      <c r="C364" s="26"/>
      <c r="D364" s="26"/>
      <c r="E364" s="27"/>
      <c r="F364" s="27"/>
      <c r="G364" s="27"/>
      <c r="H364" s="28"/>
    </row>
    <row r="365" spans="1:8" ht="14.25">
      <c r="A365" s="26"/>
      <c r="B365" s="26"/>
      <c r="C365" s="26"/>
      <c r="D365" s="26"/>
      <c r="E365" s="27"/>
      <c r="F365" s="27"/>
      <c r="G365" s="27"/>
      <c r="H365" s="28"/>
    </row>
    <row r="366" spans="1:8" ht="14.25">
      <c r="A366" s="26"/>
      <c r="B366" s="26"/>
      <c r="C366" s="26"/>
      <c r="D366" s="26"/>
      <c r="E366" s="27"/>
      <c r="F366" s="27"/>
      <c r="G366" s="27"/>
      <c r="H366" s="28"/>
    </row>
    <row r="367" spans="1:8" ht="14.25">
      <c r="A367" s="26"/>
      <c r="B367" s="26"/>
      <c r="C367" s="26"/>
      <c r="D367" s="26"/>
      <c r="E367" s="27"/>
      <c r="F367" s="27"/>
      <c r="G367" s="27"/>
      <c r="H367" s="28"/>
    </row>
    <row r="368" spans="1:8" ht="14.25">
      <c r="A368" s="26"/>
      <c r="B368" s="26"/>
      <c r="C368" s="26"/>
      <c r="D368" s="26"/>
      <c r="E368" s="27"/>
      <c r="F368" s="27"/>
      <c r="G368" s="27"/>
      <c r="H368" s="28"/>
    </row>
    <row r="369" spans="1:8" ht="14.25">
      <c r="A369" s="26"/>
      <c r="B369" s="26"/>
      <c r="C369" s="26"/>
      <c r="D369" s="26"/>
      <c r="E369" s="27"/>
      <c r="F369" s="27"/>
      <c r="G369" s="27"/>
      <c r="H369" s="28"/>
    </row>
    <row r="370" spans="1:8" ht="14.25">
      <c r="A370" s="26"/>
      <c r="B370" s="26"/>
      <c r="C370" s="26"/>
      <c r="D370" s="26"/>
      <c r="E370" s="27"/>
      <c r="F370" s="27"/>
      <c r="G370" s="27"/>
      <c r="H370" s="28"/>
    </row>
    <row r="371" spans="1:8" ht="14.25">
      <c r="A371" s="26"/>
      <c r="B371" s="26"/>
      <c r="C371" s="26"/>
      <c r="D371" s="26"/>
      <c r="E371" s="27"/>
      <c r="F371" s="27"/>
      <c r="G371" s="27"/>
      <c r="H371" s="28"/>
    </row>
    <row r="372" spans="1:8" ht="14.25">
      <c r="A372" s="26"/>
      <c r="B372" s="26"/>
      <c r="C372" s="26"/>
      <c r="D372" s="26"/>
      <c r="E372" s="27"/>
      <c r="F372" s="27"/>
      <c r="G372" s="27"/>
      <c r="H372" s="28"/>
    </row>
    <row r="373" spans="1:8" ht="14.25">
      <c r="A373" s="26"/>
      <c r="B373" s="26"/>
      <c r="C373" s="26"/>
      <c r="D373" s="26"/>
      <c r="E373" s="27"/>
      <c r="F373" s="27"/>
      <c r="G373" s="27"/>
      <c r="H373" s="28"/>
    </row>
    <row r="374" spans="1:8" ht="14.25">
      <c r="A374" s="26"/>
      <c r="B374" s="26"/>
      <c r="C374" s="26"/>
      <c r="D374" s="26"/>
      <c r="E374" s="27"/>
      <c r="F374" s="27"/>
      <c r="G374" s="27"/>
      <c r="H374" s="28"/>
    </row>
    <row r="375" spans="1:8" ht="14.25">
      <c r="A375" s="26"/>
      <c r="B375" s="26"/>
      <c r="C375" s="26"/>
      <c r="D375" s="26"/>
      <c r="E375" s="27"/>
      <c r="F375" s="27"/>
      <c r="G375" s="27"/>
      <c r="H375" s="28"/>
    </row>
    <row r="376" spans="1:8" ht="14.25">
      <c r="A376" s="26"/>
      <c r="B376" s="26"/>
      <c r="C376" s="26"/>
      <c r="D376" s="26"/>
      <c r="E376" s="27"/>
      <c r="F376" s="27"/>
      <c r="G376" s="27"/>
      <c r="H376" s="28"/>
    </row>
    <row r="377" spans="1:8" ht="14.25">
      <c r="A377" s="26"/>
      <c r="B377" s="26"/>
      <c r="C377" s="26"/>
      <c r="D377" s="26"/>
      <c r="E377" s="27"/>
      <c r="F377" s="27"/>
      <c r="G377" s="27"/>
      <c r="H377" s="28"/>
    </row>
    <row r="378" spans="1:8" ht="14.25">
      <c r="A378" s="26"/>
      <c r="B378" s="26"/>
      <c r="C378" s="26"/>
      <c r="D378" s="26"/>
      <c r="E378" s="27"/>
      <c r="F378" s="27"/>
      <c r="G378" s="27"/>
      <c r="H378" s="28"/>
    </row>
    <row r="379" spans="1:8" ht="14.25">
      <c r="A379" s="26"/>
      <c r="B379" s="26"/>
      <c r="C379" s="26"/>
      <c r="D379" s="26"/>
      <c r="E379" s="27"/>
      <c r="F379" s="27"/>
      <c r="G379" s="27"/>
      <c r="H379" s="28"/>
    </row>
    <row r="380" spans="1:8" ht="14.25">
      <c r="A380" s="26"/>
      <c r="B380" s="26"/>
      <c r="C380" s="26"/>
      <c r="D380" s="26"/>
      <c r="E380" s="27"/>
      <c r="F380" s="27"/>
      <c r="G380" s="27"/>
      <c r="H380" s="28"/>
    </row>
    <row r="381" spans="1:8" ht="14.25">
      <c r="A381" s="26"/>
      <c r="B381" s="26"/>
      <c r="C381" s="26"/>
      <c r="D381" s="26"/>
      <c r="E381" s="27"/>
      <c r="F381" s="27"/>
      <c r="G381" s="27"/>
      <c r="H381" s="28"/>
    </row>
    <row r="382" spans="1:8" ht="14.25">
      <c r="A382" s="26"/>
      <c r="B382" s="26"/>
      <c r="C382" s="26"/>
      <c r="D382" s="26"/>
      <c r="E382" s="27"/>
      <c r="F382" s="27"/>
      <c r="G382" s="27"/>
      <c r="H382" s="28"/>
    </row>
    <row r="383" spans="1:8" ht="14.25">
      <c r="A383" s="26"/>
      <c r="B383" s="26"/>
      <c r="C383" s="26"/>
      <c r="D383" s="26"/>
      <c r="E383" s="27"/>
      <c r="F383" s="27"/>
      <c r="G383" s="27"/>
      <c r="H383" s="28"/>
    </row>
    <row r="384" spans="1:8" ht="14.25">
      <c r="A384" s="26"/>
      <c r="B384" s="26"/>
      <c r="C384" s="26"/>
      <c r="D384" s="26"/>
      <c r="E384" s="27"/>
      <c r="F384" s="27"/>
      <c r="G384" s="27"/>
      <c r="H384" s="28"/>
    </row>
    <row r="385" spans="1:8" ht="14.25">
      <c r="A385" s="26"/>
      <c r="B385" s="26"/>
      <c r="C385" s="26"/>
      <c r="D385" s="26"/>
      <c r="E385" s="27"/>
      <c r="F385" s="27"/>
      <c r="G385" s="27"/>
      <c r="H385" s="28"/>
    </row>
    <row r="386" spans="1:8" ht="14.25">
      <c r="A386" s="26"/>
      <c r="B386" s="26"/>
      <c r="C386" s="26"/>
      <c r="D386" s="26"/>
      <c r="E386" s="27"/>
      <c r="F386" s="27"/>
      <c r="G386" s="27"/>
      <c r="H386" s="28"/>
    </row>
    <row r="387" spans="1:8" ht="14.25">
      <c r="A387" s="26"/>
      <c r="B387" s="26"/>
      <c r="C387" s="26"/>
      <c r="D387" s="26"/>
      <c r="E387" s="27"/>
      <c r="F387" s="27"/>
      <c r="G387" s="27"/>
      <c r="H387" s="28"/>
    </row>
    <row r="388" spans="1:8" ht="14.25">
      <c r="A388" s="26"/>
      <c r="B388" s="26"/>
      <c r="C388" s="26"/>
      <c r="D388" s="26"/>
      <c r="E388" s="27"/>
      <c r="F388" s="27"/>
      <c r="G388" s="27"/>
      <c r="H388" s="28"/>
    </row>
    <row r="389" spans="1:8" ht="14.25">
      <c r="A389" s="26"/>
      <c r="B389" s="26"/>
      <c r="C389" s="26"/>
      <c r="D389" s="26"/>
      <c r="E389" s="27"/>
      <c r="F389" s="27"/>
      <c r="G389" s="27"/>
      <c r="H389" s="28"/>
    </row>
    <row r="390" spans="1:8" ht="14.25">
      <c r="A390" s="26"/>
      <c r="B390" s="26"/>
      <c r="C390" s="26"/>
      <c r="D390" s="26"/>
      <c r="E390" s="27"/>
      <c r="F390" s="27"/>
      <c r="G390" s="27"/>
      <c r="H390" s="28"/>
    </row>
    <row r="391" spans="1:8" ht="14.25">
      <c r="A391" s="26"/>
      <c r="B391" s="26"/>
      <c r="C391" s="26"/>
      <c r="D391" s="26"/>
      <c r="E391" s="27"/>
      <c r="F391" s="27"/>
      <c r="G391" s="27"/>
      <c r="H391" s="28"/>
    </row>
    <row r="392" spans="1:8" ht="14.25">
      <c r="A392" s="26"/>
      <c r="B392" s="26"/>
      <c r="C392" s="26"/>
      <c r="D392" s="26"/>
      <c r="E392" s="27"/>
      <c r="F392" s="27"/>
      <c r="G392" s="27"/>
      <c r="H392" s="28"/>
    </row>
    <row r="393" spans="1:8" ht="14.25">
      <c r="A393" s="26"/>
      <c r="B393" s="26"/>
      <c r="C393" s="26"/>
      <c r="D393" s="26"/>
      <c r="E393" s="27"/>
      <c r="F393" s="27"/>
      <c r="G393" s="27"/>
      <c r="H393" s="28"/>
    </row>
    <row r="394" spans="1:8" ht="14.25">
      <c r="A394" s="26"/>
      <c r="B394" s="26"/>
      <c r="C394" s="26"/>
      <c r="D394" s="26"/>
      <c r="E394" s="27"/>
      <c r="F394" s="27"/>
      <c r="G394" s="27"/>
      <c r="H394" s="28"/>
    </row>
    <row r="395" spans="1:8" ht="14.25">
      <c r="A395" s="26"/>
      <c r="B395" s="26"/>
      <c r="C395" s="26"/>
      <c r="D395" s="26"/>
      <c r="E395" s="27"/>
      <c r="F395" s="27"/>
      <c r="G395" s="27"/>
      <c r="H395" s="28"/>
    </row>
    <row r="396" spans="1:8" ht="14.25">
      <c r="A396" s="26"/>
      <c r="B396" s="26"/>
      <c r="C396" s="26"/>
      <c r="D396" s="26"/>
      <c r="E396" s="27"/>
      <c r="F396" s="27"/>
      <c r="G396" s="27"/>
      <c r="H396" s="28"/>
    </row>
    <row r="397" spans="1:8" ht="14.25">
      <c r="A397" s="26"/>
      <c r="B397" s="26"/>
      <c r="C397" s="26"/>
      <c r="D397" s="26"/>
      <c r="E397" s="27"/>
      <c r="F397" s="27"/>
      <c r="G397" s="27"/>
      <c r="H397" s="28"/>
    </row>
    <row r="398" spans="1:8" ht="14.25">
      <c r="A398" s="26"/>
      <c r="B398" s="26"/>
      <c r="C398" s="26"/>
      <c r="D398" s="26"/>
      <c r="E398" s="27"/>
      <c r="F398" s="27"/>
      <c r="G398" s="27"/>
      <c r="H398" s="28"/>
    </row>
    <row r="399" spans="1:8" ht="14.25">
      <c r="A399" s="26"/>
      <c r="B399" s="26"/>
      <c r="C399" s="26"/>
      <c r="D399" s="26"/>
      <c r="E399" s="27"/>
      <c r="F399" s="27"/>
      <c r="G399" s="27"/>
      <c r="H399" s="28"/>
    </row>
    <row r="400" spans="1:8" ht="14.25">
      <c r="A400" s="26"/>
      <c r="B400" s="26"/>
      <c r="C400" s="26"/>
      <c r="D400" s="26"/>
      <c r="E400" s="27"/>
      <c r="F400" s="27"/>
      <c r="G400" s="27"/>
      <c r="H400" s="28"/>
    </row>
    <row r="401" spans="1:8" ht="14.25">
      <c r="A401" s="26"/>
      <c r="B401" s="26"/>
      <c r="C401" s="26"/>
      <c r="D401" s="26"/>
      <c r="E401" s="27"/>
      <c r="F401" s="27"/>
      <c r="G401" s="27"/>
      <c r="H401" s="28"/>
    </row>
    <row r="402" spans="1:8" ht="14.25">
      <c r="A402" s="26"/>
      <c r="B402" s="26"/>
      <c r="C402" s="26"/>
      <c r="D402" s="26"/>
      <c r="E402" s="27"/>
      <c r="F402" s="27"/>
      <c r="G402" s="27"/>
      <c r="H402" s="28"/>
    </row>
    <row r="403" spans="1:8" ht="14.25">
      <c r="A403" s="26"/>
      <c r="B403" s="26"/>
      <c r="C403" s="26"/>
      <c r="D403" s="26"/>
      <c r="E403" s="27"/>
      <c r="F403" s="27"/>
      <c r="G403" s="27"/>
      <c r="H403" s="28"/>
    </row>
    <row r="404" spans="1:8" ht="14.25">
      <c r="A404" s="26"/>
      <c r="B404" s="26"/>
      <c r="C404" s="26"/>
      <c r="D404" s="26"/>
      <c r="E404" s="27"/>
      <c r="F404" s="27"/>
      <c r="G404" s="27"/>
      <c r="H404" s="28"/>
    </row>
    <row r="405" spans="1:8" ht="14.25">
      <c r="A405" s="26"/>
      <c r="B405" s="26"/>
      <c r="C405" s="26"/>
      <c r="D405" s="26"/>
      <c r="E405" s="27"/>
      <c r="F405" s="27"/>
      <c r="G405" s="27"/>
      <c r="H405" s="28"/>
    </row>
    <row r="406" spans="1:8" ht="14.25">
      <c r="A406" s="26"/>
      <c r="B406" s="26"/>
      <c r="C406" s="26"/>
      <c r="D406" s="26"/>
      <c r="E406" s="27"/>
      <c r="F406" s="27"/>
      <c r="G406" s="27"/>
      <c r="H406" s="28"/>
    </row>
    <row r="407" spans="1:8" ht="14.25">
      <c r="A407" s="26"/>
      <c r="B407" s="26"/>
      <c r="C407" s="26"/>
      <c r="D407" s="26"/>
      <c r="E407" s="27"/>
      <c r="F407" s="27"/>
      <c r="G407" s="27"/>
      <c r="H407" s="28"/>
    </row>
    <row r="408" spans="1:8" ht="14.25">
      <c r="A408" s="26"/>
      <c r="B408" s="26"/>
      <c r="C408" s="26"/>
      <c r="D408" s="26"/>
      <c r="E408" s="27"/>
      <c r="F408" s="27"/>
      <c r="G408" s="27"/>
      <c r="H408" s="28"/>
    </row>
    <row r="409" spans="1:8" ht="14.25">
      <c r="A409" s="26"/>
      <c r="B409" s="26"/>
      <c r="C409" s="26"/>
      <c r="D409" s="26"/>
      <c r="E409" s="27"/>
      <c r="F409" s="27"/>
      <c r="G409" s="27"/>
      <c r="H409" s="28"/>
    </row>
    <row r="410" spans="1:8" ht="14.25">
      <c r="A410" s="26"/>
      <c r="B410" s="26"/>
      <c r="C410" s="26"/>
      <c r="D410" s="26"/>
      <c r="E410" s="27"/>
      <c r="F410" s="27"/>
      <c r="G410" s="27"/>
      <c r="H410" s="28"/>
    </row>
    <row r="411" spans="1:8" ht="14.25">
      <c r="A411" s="26"/>
      <c r="B411" s="26"/>
      <c r="C411" s="26"/>
      <c r="D411" s="26"/>
      <c r="E411" s="27"/>
      <c r="F411" s="27"/>
      <c r="G411" s="27"/>
      <c r="H411" s="28"/>
    </row>
    <row r="412" spans="1:8" ht="14.25">
      <c r="A412" s="26"/>
      <c r="B412" s="26"/>
      <c r="C412" s="26"/>
      <c r="D412" s="26"/>
      <c r="E412" s="27"/>
      <c r="F412" s="27"/>
      <c r="G412" s="27"/>
      <c r="H412" s="28"/>
    </row>
    <row r="413" spans="1:8" ht="14.25">
      <c r="A413" s="26"/>
      <c r="B413" s="26"/>
      <c r="C413" s="26"/>
      <c r="D413" s="26"/>
      <c r="E413" s="27"/>
      <c r="F413" s="27"/>
      <c r="G413" s="27"/>
      <c r="H413" s="28"/>
    </row>
    <row r="414" spans="1:8" ht="14.25">
      <c r="A414" s="26"/>
      <c r="B414" s="26"/>
      <c r="C414" s="26"/>
      <c r="D414" s="26"/>
      <c r="E414" s="27"/>
      <c r="F414" s="27"/>
      <c r="G414" s="27"/>
      <c r="H414" s="28"/>
    </row>
    <row r="415" spans="1:8" ht="14.25">
      <c r="A415" s="26"/>
      <c r="B415" s="26"/>
      <c r="C415" s="26"/>
      <c r="D415" s="26"/>
      <c r="E415" s="27"/>
      <c r="F415" s="27"/>
      <c r="G415" s="27"/>
      <c r="H415" s="28"/>
    </row>
    <row r="416" spans="1:8" ht="14.25">
      <c r="A416" s="26"/>
      <c r="B416" s="26"/>
      <c r="C416" s="26"/>
      <c r="D416" s="26"/>
      <c r="E416" s="27"/>
      <c r="F416" s="27"/>
      <c r="G416" s="27"/>
      <c r="H416" s="28"/>
    </row>
    <row r="417" spans="1:8" ht="14.25">
      <c r="A417" s="26"/>
      <c r="B417" s="26"/>
      <c r="C417" s="26"/>
      <c r="D417" s="26"/>
      <c r="E417" s="27"/>
      <c r="F417" s="27"/>
      <c r="G417" s="27"/>
      <c r="H417" s="28"/>
    </row>
    <row r="418" spans="1:8" ht="14.25">
      <c r="A418" s="26"/>
      <c r="B418" s="26"/>
      <c r="C418" s="26"/>
      <c r="D418" s="26"/>
      <c r="E418" s="27"/>
      <c r="F418" s="27"/>
      <c r="G418" s="27"/>
      <c r="H418" s="28"/>
    </row>
    <row r="419" spans="1:8" ht="14.25">
      <c r="A419" s="26"/>
      <c r="B419" s="26"/>
      <c r="C419" s="26"/>
      <c r="D419" s="26"/>
      <c r="E419" s="27"/>
      <c r="F419" s="27"/>
      <c r="G419" s="27"/>
      <c r="H419" s="28"/>
    </row>
    <row r="420" spans="1:8" ht="14.25">
      <c r="A420" s="26"/>
      <c r="B420" s="26"/>
      <c r="C420" s="26"/>
      <c r="D420" s="26"/>
      <c r="E420" s="27"/>
      <c r="F420" s="27"/>
      <c r="G420" s="27"/>
      <c r="H420" s="28"/>
    </row>
    <row r="421" spans="1:8" ht="14.25">
      <c r="A421" s="26"/>
      <c r="B421" s="26"/>
      <c r="C421" s="26"/>
      <c r="D421" s="26"/>
      <c r="E421" s="27"/>
      <c r="F421" s="27"/>
      <c r="G421" s="27"/>
      <c r="H421" s="28"/>
    </row>
    <row r="422" spans="1:8" ht="14.25">
      <c r="A422" s="26"/>
      <c r="B422" s="26"/>
      <c r="C422" s="26"/>
      <c r="D422" s="26"/>
      <c r="E422" s="27"/>
      <c r="F422" s="27"/>
      <c r="G422" s="27"/>
      <c r="H422" s="28"/>
    </row>
    <row r="423" spans="1:8" ht="14.25">
      <c r="A423" s="26"/>
      <c r="B423" s="26"/>
      <c r="C423" s="26"/>
      <c r="D423" s="26"/>
      <c r="E423" s="27"/>
      <c r="F423" s="27"/>
      <c r="G423" s="27"/>
      <c r="H423" s="28"/>
    </row>
    <row r="424" spans="1:8" ht="14.25">
      <c r="A424" s="26"/>
      <c r="B424" s="26"/>
      <c r="C424" s="26"/>
      <c r="D424" s="26"/>
      <c r="E424" s="27"/>
      <c r="F424" s="27"/>
      <c r="G424" s="27"/>
      <c r="H424" s="28"/>
    </row>
    <row r="425" spans="1:8" ht="14.25">
      <c r="A425" s="26"/>
      <c r="B425" s="26"/>
      <c r="C425" s="26"/>
      <c r="D425" s="26"/>
      <c r="E425" s="27"/>
      <c r="F425" s="27"/>
      <c r="G425" s="27"/>
      <c r="H425" s="28"/>
    </row>
    <row r="426" spans="1:8" ht="14.25">
      <c r="A426" s="26"/>
      <c r="B426" s="26"/>
      <c r="C426" s="26"/>
      <c r="D426" s="26"/>
      <c r="E426" s="27"/>
      <c r="F426" s="27"/>
      <c r="G426" s="27"/>
      <c r="H426" s="28"/>
    </row>
    <row r="427" spans="1:8" ht="14.25">
      <c r="A427" s="26"/>
      <c r="B427" s="26"/>
      <c r="C427" s="26"/>
      <c r="D427" s="26"/>
      <c r="E427" s="27"/>
      <c r="F427" s="27"/>
      <c r="G427" s="27"/>
      <c r="H427" s="28"/>
    </row>
    <row r="428" spans="1:8" ht="14.25">
      <c r="A428" s="26"/>
      <c r="B428" s="26"/>
      <c r="C428" s="26"/>
      <c r="D428" s="26"/>
      <c r="E428" s="27"/>
      <c r="F428" s="27"/>
      <c r="G428" s="27"/>
      <c r="H428" s="28"/>
    </row>
    <row r="429" spans="1:8" ht="14.25">
      <c r="A429" s="26"/>
      <c r="B429" s="26"/>
      <c r="C429" s="26"/>
      <c r="D429" s="26"/>
      <c r="E429" s="27"/>
      <c r="F429" s="27"/>
      <c r="G429" s="27"/>
      <c r="H429" s="28"/>
    </row>
    <row r="430" spans="1:8" ht="14.25">
      <c r="A430" s="26"/>
      <c r="B430" s="26"/>
      <c r="C430" s="26"/>
      <c r="D430" s="26"/>
      <c r="E430" s="27"/>
      <c r="F430" s="27"/>
      <c r="G430" s="27"/>
      <c r="H430" s="28"/>
    </row>
    <row r="431" spans="1:8" ht="14.25">
      <c r="A431" s="26"/>
      <c r="B431" s="26"/>
      <c r="C431" s="26"/>
      <c r="D431" s="26"/>
      <c r="E431" s="27"/>
      <c r="F431" s="27"/>
      <c r="G431" s="27"/>
      <c r="H431" s="28"/>
    </row>
    <row r="432" spans="1:8" ht="14.25">
      <c r="A432" s="26"/>
      <c r="B432" s="26"/>
      <c r="C432" s="26"/>
      <c r="D432" s="26"/>
      <c r="E432" s="27"/>
      <c r="F432" s="27"/>
      <c r="G432" s="27"/>
      <c r="H432" s="28"/>
    </row>
    <row r="433" spans="1:8" ht="14.25">
      <c r="A433" s="26"/>
      <c r="B433" s="26"/>
      <c r="C433" s="26"/>
      <c r="D433" s="26"/>
      <c r="E433" s="27"/>
      <c r="F433" s="27"/>
      <c r="G433" s="27"/>
      <c r="H433" s="28"/>
    </row>
    <row r="434" spans="1:8" ht="14.25">
      <c r="A434" s="26"/>
      <c r="B434" s="26"/>
      <c r="C434" s="26"/>
      <c r="D434" s="26"/>
      <c r="E434" s="27"/>
      <c r="F434" s="27"/>
      <c r="G434" s="27"/>
      <c r="H434" s="28"/>
    </row>
    <row r="435" spans="1:8" ht="14.25">
      <c r="A435" s="26"/>
      <c r="B435" s="26"/>
      <c r="C435" s="26"/>
      <c r="D435" s="26"/>
      <c r="E435" s="27"/>
      <c r="F435" s="27"/>
      <c r="G435" s="27"/>
      <c r="H435" s="28"/>
    </row>
    <row r="436" spans="1:8" ht="14.25">
      <c r="A436" s="26"/>
      <c r="B436" s="26"/>
      <c r="C436" s="26"/>
      <c r="D436" s="26"/>
      <c r="E436" s="27"/>
      <c r="F436" s="27"/>
      <c r="G436" s="27"/>
      <c r="H436" s="28"/>
    </row>
    <row r="437" spans="1:8" ht="14.25">
      <c r="A437" s="26"/>
      <c r="B437" s="26"/>
      <c r="C437" s="26"/>
      <c r="D437" s="26"/>
      <c r="E437" s="27"/>
      <c r="F437" s="27"/>
      <c r="G437" s="27"/>
      <c r="H437" s="28"/>
    </row>
    <row r="438" spans="1:8" ht="14.25">
      <c r="A438" s="26"/>
      <c r="B438" s="26"/>
      <c r="C438" s="26"/>
      <c r="D438" s="26"/>
      <c r="E438" s="27"/>
      <c r="F438" s="27"/>
      <c r="G438" s="27"/>
      <c r="H438" s="28"/>
    </row>
    <row r="439" spans="1:8" ht="14.25">
      <c r="A439" s="26"/>
      <c r="B439" s="26"/>
      <c r="C439" s="26"/>
      <c r="D439" s="26"/>
      <c r="E439" s="27"/>
      <c r="F439" s="27"/>
      <c r="G439" s="27"/>
      <c r="H439" s="28"/>
    </row>
    <row r="440" spans="1:8" ht="14.25">
      <c r="A440" s="26"/>
      <c r="B440" s="26"/>
      <c r="C440" s="26"/>
      <c r="D440" s="26"/>
      <c r="E440" s="27"/>
      <c r="F440" s="27"/>
      <c r="G440" s="27"/>
      <c r="H440" s="28"/>
    </row>
    <row r="441" spans="1:8" ht="14.25">
      <c r="A441" s="26"/>
      <c r="B441" s="26"/>
      <c r="C441" s="26"/>
      <c r="D441" s="26"/>
      <c r="E441" s="27"/>
      <c r="F441" s="27"/>
      <c r="G441" s="27"/>
      <c r="H441" s="28"/>
    </row>
    <row r="442" spans="1:8" ht="14.25">
      <c r="A442" s="26"/>
      <c r="B442" s="26"/>
      <c r="C442" s="26"/>
      <c r="D442" s="26"/>
      <c r="E442" s="27"/>
      <c r="F442" s="27"/>
      <c r="G442" s="27"/>
      <c r="H442" s="28"/>
    </row>
    <row r="443" spans="1:8" ht="14.25">
      <c r="A443" s="26"/>
      <c r="B443" s="26"/>
      <c r="C443" s="26"/>
      <c r="D443" s="26"/>
      <c r="E443" s="27"/>
      <c r="F443" s="27"/>
      <c r="G443" s="27"/>
      <c r="H443" s="28"/>
    </row>
    <row r="444" spans="1:8" ht="14.25">
      <c r="A444" s="26"/>
      <c r="B444" s="26"/>
      <c r="C444" s="26"/>
      <c r="D444" s="26"/>
      <c r="E444" s="27"/>
      <c r="F444" s="27"/>
      <c r="G444" s="27"/>
      <c r="H444" s="28"/>
    </row>
    <row r="445" spans="1:8" ht="14.25">
      <c r="A445" s="26"/>
      <c r="B445" s="26"/>
      <c r="C445" s="26"/>
      <c r="D445" s="26"/>
      <c r="E445" s="27"/>
      <c r="F445" s="27"/>
      <c r="G445" s="27"/>
      <c r="H445" s="28"/>
    </row>
    <row r="446" spans="1:8" ht="14.25">
      <c r="A446" s="26"/>
      <c r="B446" s="26"/>
      <c r="C446" s="26"/>
      <c r="D446" s="26"/>
      <c r="E446" s="27"/>
      <c r="F446" s="27"/>
      <c r="G446" s="27"/>
      <c r="H446" s="28"/>
    </row>
    <row r="447" spans="1:8" ht="14.25">
      <c r="A447" s="26"/>
      <c r="B447" s="26"/>
      <c r="C447" s="26"/>
      <c r="D447" s="26"/>
      <c r="E447" s="27"/>
      <c r="F447" s="27"/>
      <c r="G447" s="27"/>
      <c r="H447" s="28"/>
    </row>
    <row r="448" spans="1:8" ht="14.25">
      <c r="A448" s="26"/>
      <c r="B448" s="26"/>
      <c r="C448" s="26"/>
      <c r="D448" s="26"/>
      <c r="E448" s="27"/>
      <c r="F448" s="27"/>
      <c r="G448" s="27"/>
      <c r="H448" s="28"/>
    </row>
    <row r="449" spans="1:8" ht="14.25">
      <c r="A449" s="26"/>
      <c r="B449" s="26"/>
      <c r="C449" s="26"/>
      <c r="D449" s="26"/>
      <c r="E449" s="27"/>
      <c r="F449" s="27"/>
      <c r="G449" s="27"/>
      <c r="H449" s="28"/>
    </row>
    <row r="450" spans="1:8" ht="14.25">
      <c r="A450" s="26"/>
      <c r="B450" s="26"/>
      <c r="C450" s="26"/>
      <c r="D450" s="26"/>
      <c r="E450" s="27"/>
      <c r="F450" s="27"/>
      <c r="G450" s="27"/>
      <c r="H450" s="28"/>
    </row>
    <row r="451" spans="1:8" ht="14.25">
      <c r="A451" s="26"/>
      <c r="B451" s="26"/>
      <c r="C451" s="26"/>
      <c r="D451" s="26"/>
      <c r="E451" s="27"/>
      <c r="F451" s="27"/>
      <c r="G451" s="27"/>
      <c r="H451" s="28"/>
    </row>
    <row r="452" spans="1:8" ht="14.25">
      <c r="A452" s="26"/>
      <c r="B452" s="26"/>
      <c r="C452" s="26"/>
      <c r="D452" s="26"/>
      <c r="E452" s="27"/>
      <c r="F452" s="27"/>
      <c r="G452" s="27"/>
      <c r="H452" s="28"/>
    </row>
    <row r="453" spans="1:8" ht="14.25">
      <c r="A453" s="26"/>
      <c r="B453" s="26"/>
      <c r="C453" s="26"/>
      <c r="D453" s="26"/>
      <c r="E453" s="27"/>
      <c r="F453" s="27"/>
      <c r="G453" s="27"/>
      <c r="H453" s="28"/>
    </row>
    <row r="454" spans="1:8" ht="14.25">
      <c r="A454" s="26"/>
      <c r="B454" s="26"/>
      <c r="C454" s="26"/>
      <c r="D454" s="26"/>
      <c r="E454" s="27"/>
      <c r="F454" s="27"/>
      <c r="G454" s="27"/>
      <c r="H454" s="28"/>
    </row>
    <row r="455" spans="1:8" ht="14.25">
      <c r="A455" s="26"/>
      <c r="B455" s="26"/>
      <c r="C455" s="26"/>
      <c r="D455" s="26"/>
      <c r="E455" s="27"/>
      <c r="F455" s="27"/>
      <c r="G455" s="27"/>
      <c r="H455" s="28"/>
    </row>
    <row r="456" spans="1:8" ht="14.25">
      <c r="A456" s="26"/>
      <c r="B456" s="26"/>
      <c r="C456" s="26"/>
      <c r="D456" s="26"/>
      <c r="E456" s="27"/>
      <c r="F456" s="27"/>
      <c r="G456" s="27"/>
      <c r="H456" s="28"/>
    </row>
    <row r="457" spans="1:8" ht="14.25">
      <c r="A457" s="26"/>
      <c r="B457" s="26"/>
      <c r="C457" s="26"/>
      <c r="D457" s="26"/>
      <c r="E457" s="27"/>
      <c r="F457" s="27"/>
      <c r="G457" s="27"/>
      <c r="H457" s="28"/>
    </row>
    <row r="458" spans="1:8" ht="14.25">
      <c r="A458" s="26"/>
      <c r="B458" s="26"/>
      <c r="C458" s="26"/>
      <c r="D458" s="26"/>
      <c r="E458" s="27"/>
      <c r="F458" s="27"/>
      <c r="G458" s="27"/>
      <c r="H458" s="28"/>
    </row>
    <row r="459" spans="1:8" ht="14.25">
      <c r="A459" s="26"/>
      <c r="B459" s="26"/>
      <c r="C459" s="26"/>
      <c r="D459" s="26"/>
      <c r="E459" s="27"/>
      <c r="F459" s="27"/>
      <c r="G459" s="27"/>
      <c r="H459" s="28"/>
    </row>
    <row r="460" spans="1:8" ht="14.25">
      <c r="A460" s="26"/>
      <c r="B460" s="26"/>
      <c r="C460" s="26"/>
      <c r="D460" s="26"/>
      <c r="E460" s="27"/>
      <c r="F460" s="27"/>
      <c r="G460" s="27"/>
      <c r="H460" s="28"/>
    </row>
    <row r="461" spans="1:8" ht="14.25">
      <c r="A461" s="26"/>
      <c r="B461" s="26"/>
      <c r="C461" s="26"/>
      <c r="D461" s="26"/>
      <c r="E461" s="27"/>
      <c r="F461" s="27"/>
      <c r="G461" s="27"/>
      <c r="H461" s="28"/>
    </row>
    <row r="462" spans="1:8" ht="14.25">
      <c r="A462" s="26"/>
      <c r="B462" s="26"/>
      <c r="C462" s="26"/>
      <c r="D462" s="26"/>
      <c r="E462" s="27"/>
      <c r="F462" s="27"/>
      <c r="G462" s="27"/>
      <c r="H462" s="28"/>
    </row>
    <row r="463" spans="1:8" ht="14.25">
      <c r="A463" s="26"/>
      <c r="B463" s="26"/>
      <c r="C463" s="26"/>
      <c r="D463" s="26"/>
      <c r="E463" s="27"/>
      <c r="F463" s="27"/>
      <c r="G463" s="27"/>
      <c r="H463" s="28"/>
    </row>
    <row r="464" spans="1:8" ht="14.25">
      <c r="A464" s="26"/>
      <c r="B464" s="26"/>
      <c r="C464" s="26"/>
      <c r="D464" s="26"/>
      <c r="E464" s="27"/>
      <c r="F464" s="27"/>
      <c r="G464" s="27"/>
      <c r="H464" s="28"/>
    </row>
    <row r="465" spans="1:8" ht="14.25">
      <c r="A465" s="26"/>
      <c r="B465" s="26"/>
      <c r="C465" s="26"/>
      <c r="D465" s="26"/>
      <c r="E465" s="27"/>
      <c r="F465" s="27"/>
      <c r="G465" s="27"/>
      <c r="H465" s="28"/>
    </row>
    <row r="466" spans="1:8" ht="14.25">
      <c r="A466" s="26"/>
      <c r="B466" s="26"/>
      <c r="C466" s="26"/>
      <c r="D466" s="26"/>
      <c r="E466" s="27"/>
      <c r="F466" s="27"/>
      <c r="G466" s="27"/>
      <c r="H466" s="28"/>
    </row>
    <row r="467" spans="1:8" ht="14.25">
      <c r="A467" s="26"/>
      <c r="B467" s="26"/>
      <c r="C467" s="26"/>
      <c r="D467" s="26"/>
      <c r="E467" s="27"/>
      <c r="F467" s="27"/>
      <c r="G467" s="27"/>
      <c r="H467" s="28"/>
    </row>
    <row r="468" spans="1:8" ht="14.25">
      <c r="A468" s="26"/>
      <c r="B468" s="26"/>
      <c r="C468" s="26"/>
      <c r="D468" s="26"/>
      <c r="E468" s="27"/>
      <c r="F468" s="27"/>
      <c r="G468" s="27"/>
      <c r="H468" s="28"/>
    </row>
    <row r="469" spans="1:8" ht="14.25">
      <c r="A469" s="26"/>
      <c r="B469" s="26"/>
      <c r="C469" s="26"/>
      <c r="D469" s="26"/>
      <c r="E469" s="27"/>
      <c r="F469" s="27"/>
      <c r="G469" s="27"/>
      <c r="H469" s="28"/>
    </row>
    <row r="470" spans="1:8" ht="14.25">
      <c r="A470" s="26"/>
      <c r="B470" s="26"/>
      <c r="C470" s="26"/>
      <c r="D470" s="26"/>
      <c r="E470" s="27"/>
      <c r="F470" s="27"/>
      <c r="G470" s="27"/>
      <c r="H470" s="28"/>
    </row>
    <row r="471" spans="1:8" ht="14.25">
      <c r="A471" s="26"/>
      <c r="B471" s="26"/>
      <c r="C471" s="26"/>
      <c r="D471" s="26"/>
      <c r="E471" s="27"/>
      <c r="F471" s="27"/>
      <c r="G471" s="27"/>
      <c r="H471" s="28"/>
    </row>
    <row r="472" spans="1:8" ht="14.25">
      <c r="A472" s="26"/>
      <c r="B472" s="26"/>
      <c r="C472" s="26"/>
      <c r="D472" s="26"/>
      <c r="E472" s="27"/>
      <c r="F472" s="27"/>
      <c r="G472" s="27"/>
      <c r="H472" s="28"/>
    </row>
    <row r="473" spans="1:8" ht="14.25">
      <c r="A473" s="26"/>
      <c r="B473" s="26"/>
      <c r="C473" s="26"/>
      <c r="D473" s="26"/>
      <c r="E473" s="27"/>
      <c r="F473" s="27"/>
      <c r="G473" s="27"/>
      <c r="H473" s="28"/>
    </row>
    <row r="474" spans="1:8" ht="14.25">
      <c r="A474" s="26"/>
      <c r="B474" s="26"/>
      <c r="C474" s="26"/>
      <c r="D474" s="26"/>
      <c r="E474" s="27"/>
      <c r="F474" s="27"/>
      <c r="G474" s="27"/>
      <c r="H474" s="28"/>
    </row>
    <row r="475" spans="1:8" ht="14.25">
      <c r="A475" s="26"/>
      <c r="B475" s="26"/>
      <c r="C475" s="26"/>
      <c r="D475" s="26"/>
      <c r="E475" s="27"/>
      <c r="F475" s="27"/>
      <c r="G475" s="27"/>
      <c r="H475" s="28"/>
    </row>
    <row r="476" spans="1:8" ht="14.25">
      <c r="A476" s="26"/>
      <c r="B476" s="26"/>
      <c r="C476" s="26"/>
      <c r="D476" s="26"/>
      <c r="E476" s="27"/>
      <c r="F476" s="27"/>
      <c r="G476" s="27"/>
      <c r="H476" s="28"/>
    </row>
    <row r="477" spans="1:8" ht="14.25">
      <c r="A477" s="26"/>
      <c r="B477" s="26"/>
      <c r="C477" s="26"/>
      <c r="D477" s="26"/>
      <c r="E477" s="27"/>
      <c r="F477" s="27"/>
      <c r="G477" s="27"/>
      <c r="H477" s="28"/>
    </row>
    <row r="478" spans="1:8" ht="14.25">
      <c r="A478" s="26"/>
      <c r="B478" s="26"/>
      <c r="C478" s="26"/>
      <c r="D478" s="26"/>
      <c r="E478" s="27"/>
      <c r="F478" s="27"/>
      <c r="G478" s="27"/>
      <c r="H478" s="28"/>
    </row>
    <row r="479" spans="1:8" ht="14.25">
      <c r="A479" s="26"/>
      <c r="B479" s="26"/>
      <c r="C479" s="26"/>
      <c r="D479" s="26"/>
      <c r="E479" s="27"/>
      <c r="F479" s="27"/>
      <c r="G479" s="27"/>
      <c r="H479" s="28"/>
    </row>
    <row r="480" spans="1:8" ht="14.25">
      <c r="A480" s="26"/>
      <c r="B480" s="26"/>
      <c r="C480" s="26"/>
      <c r="D480" s="26"/>
      <c r="E480" s="27"/>
      <c r="F480" s="27"/>
      <c r="G480" s="27"/>
      <c r="H480" s="28"/>
    </row>
    <row r="481" spans="1:8" ht="14.25">
      <c r="A481" s="26"/>
      <c r="B481" s="26"/>
      <c r="C481" s="26"/>
      <c r="D481" s="26"/>
      <c r="E481" s="27"/>
      <c r="F481" s="27"/>
      <c r="G481" s="27"/>
      <c r="H481" s="28"/>
    </row>
    <row r="482" spans="1:8" ht="14.25">
      <c r="A482" s="26"/>
      <c r="B482" s="26"/>
      <c r="C482" s="26"/>
      <c r="D482" s="26"/>
      <c r="E482" s="27"/>
      <c r="F482" s="27"/>
      <c r="G482" s="27"/>
      <c r="H482" s="28"/>
    </row>
    <row r="483" spans="1:8" ht="14.25">
      <c r="A483" s="26"/>
      <c r="B483" s="26"/>
      <c r="C483" s="26"/>
      <c r="D483" s="26"/>
      <c r="E483" s="27"/>
      <c r="F483" s="27"/>
      <c r="G483" s="27"/>
      <c r="H483" s="28"/>
    </row>
    <row r="484" spans="1:8" ht="14.25">
      <c r="A484" s="26"/>
      <c r="B484" s="26"/>
      <c r="C484" s="26"/>
      <c r="D484" s="26"/>
      <c r="E484" s="27"/>
      <c r="F484" s="27"/>
      <c r="G484" s="27"/>
      <c r="H484" s="28"/>
    </row>
    <row r="485" spans="1:8" ht="14.25">
      <c r="A485" s="26"/>
      <c r="B485" s="26"/>
      <c r="C485" s="26"/>
      <c r="D485" s="26"/>
      <c r="E485" s="27"/>
      <c r="F485" s="27"/>
      <c r="G485" s="27"/>
      <c r="H485" s="28"/>
    </row>
    <row r="486" spans="1:8" ht="14.25">
      <c r="A486" s="26"/>
      <c r="B486" s="26"/>
      <c r="C486" s="26"/>
      <c r="D486" s="26"/>
      <c r="E486" s="27"/>
      <c r="F486" s="27"/>
      <c r="G486" s="27"/>
      <c r="H486" s="28"/>
    </row>
    <row r="487" spans="1:8" ht="14.25">
      <c r="A487" s="26"/>
      <c r="B487" s="26"/>
      <c r="C487" s="26"/>
      <c r="D487" s="26"/>
      <c r="E487" s="27"/>
      <c r="F487" s="27"/>
      <c r="G487" s="27"/>
      <c r="H487" s="28"/>
    </row>
    <row r="488" spans="1:8" ht="14.25">
      <c r="A488" s="26"/>
      <c r="B488" s="26"/>
      <c r="C488" s="26"/>
      <c r="D488" s="26"/>
      <c r="E488" s="27"/>
      <c r="F488" s="27"/>
      <c r="G488" s="27"/>
      <c r="H488" s="28"/>
    </row>
    <row r="489" spans="1:8" ht="14.25">
      <c r="A489" s="26"/>
      <c r="B489" s="26"/>
      <c r="C489" s="26"/>
      <c r="D489" s="26"/>
      <c r="E489" s="27"/>
      <c r="F489" s="27"/>
      <c r="G489" s="27"/>
      <c r="H489" s="28"/>
    </row>
    <row r="490" spans="1:8" ht="14.25">
      <c r="A490" s="26"/>
      <c r="B490" s="26"/>
      <c r="C490" s="26"/>
      <c r="D490" s="26"/>
      <c r="E490" s="27"/>
      <c r="F490" s="27"/>
      <c r="G490" s="27"/>
      <c r="H490" s="28"/>
    </row>
    <row r="491" spans="1:8" ht="14.25">
      <c r="A491" s="26"/>
      <c r="B491" s="26"/>
      <c r="C491" s="26"/>
      <c r="D491" s="26"/>
      <c r="E491" s="27"/>
      <c r="F491" s="27"/>
      <c r="G491" s="27"/>
      <c r="H491" s="28"/>
    </row>
    <row r="492" spans="1:8" ht="14.25">
      <c r="A492" s="26"/>
      <c r="B492" s="26"/>
      <c r="C492" s="26"/>
      <c r="D492" s="26"/>
      <c r="E492" s="27"/>
      <c r="F492" s="27"/>
      <c r="G492" s="27"/>
      <c r="H492" s="28"/>
    </row>
    <row r="493" spans="1:8" ht="14.25">
      <c r="A493" s="26"/>
      <c r="B493" s="26"/>
      <c r="C493" s="26"/>
      <c r="D493" s="26"/>
      <c r="E493" s="27"/>
      <c r="F493" s="27"/>
      <c r="G493" s="27"/>
      <c r="H493" s="28"/>
    </row>
    <row r="494" spans="1:8" ht="14.25">
      <c r="A494" s="26"/>
      <c r="B494" s="26"/>
      <c r="C494" s="26"/>
      <c r="D494" s="26"/>
      <c r="E494" s="27"/>
      <c r="F494" s="27"/>
      <c r="G494" s="27"/>
      <c r="H494" s="28"/>
    </row>
    <row r="495" spans="1:8" ht="14.25">
      <c r="A495" s="26"/>
      <c r="B495" s="26"/>
      <c r="C495" s="26"/>
      <c r="D495" s="26"/>
      <c r="E495" s="27"/>
      <c r="F495" s="27"/>
      <c r="G495" s="27"/>
      <c r="H495" s="28"/>
    </row>
    <row r="496" spans="1:8" ht="14.25">
      <c r="A496" s="26"/>
      <c r="B496" s="26"/>
      <c r="C496" s="26"/>
      <c r="D496" s="26"/>
      <c r="E496" s="27"/>
      <c r="F496" s="27"/>
      <c r="G496" s="27"/>
      <c r="H496" s="28"/>
    </row>
    <row r="497" spans="1:8" ht="14.25">
      <c r="A497" s="26"/>
      <c r="B497" s="26"/>
      <c r="C497" s="26"/>
      <c r="D497" s="26"/>
      <c r="E497" s="27"/>
      <c r="F497" s="27"/>
      <c r="G497" s="27"/>
      <c r="H497" s="28"/>
    </row>
    <row r="498" spans="1:8" ht="14.25">
      <c r="A498" s="26"/>
      <c r="B498" s="26"/>
      <c r="C498" s="26"/>
      <c r="D498" s="26"/>
      <c r="E498" s="27"/>
      <c r="F498" s="27"/>
      <c r="G498" s="27"/>
      <c r="H498" s="28"/>
    </row>
    <row r="499" spans="1:8" ht="14.25">
      <c r="A499" s="26"/>
      <c r="B499" s="26"/>
      <c r="C499" s="26"/>
      <c r="D499" s="26"/>
      <c r="E499" s="27"/>
      <c r="F499" s="27"/>
      <c r="G499" s="27"/>
      <c r="H499" s="28"/>
    </row>
    <row r="500" spans="1:8" ht="14.25">
      <c r="A500" s="26"/>
      <c r="B500" s="26"/>
      <c r="C500" s="26"/>
      <c r="D500" s="26"/>
      <c r="E500" s="27"/>
      <c r="F500" s="27"/>
      <c r="G500" s="27"/>
      <c r="H500" s="28"/>
    </row>
    <row r="501" spans="1:8" ht="14.25">
      <c r="A501" s="26"/>
      <c r="B501" s="26"/>
      <c r="C501" s="26"/>
      <c r="D501" s="26"/>
      <c r="E501" s="27"/>
      <c r="F501" s="27"/>
      <c r="G501" s="27"/>
      <c r="H501" s="28"/>
    </row>
    <row r="502" spans="1:8" ht="14.25">
      <c r="A502" s="26"/>
      <c r="B502" s="26"/>
      <c r="C502" s="26"/>
      <c r="D502" s="26"/>
      <c r="E502" s="27"/>
      <c r="F502" s="27"/>
      <c r="G502" s="27"/>
      <c r="H502" s="28"/>
    </row>
    <row r="503" spans="1:8" ht="14.25">
      <c r="A503" s="26"/>
      <c r="B503" s="26"/>
      <c r="C503" s="26"/>
      <c r="D503" s="26"/>
      <c r="E503" s="27"/>
      <c r="F503" s="27"/>
      <c r="G503" s="27"/>
      <c r="H503" s="28"/>
    </row>
    <row r="504" spans="1:8" ht="14.25">
      <c r="A504" s="26"/>
      <c r="B504" s="26"/>
      <c r="C504" s="26"/>
      <c r="D504" s="26"/>
      <c r="E504" s="27"/>
      <c r="F504" s="27"/>
      <c r="G504" s="27"/>
      <c r="H504" s="28"/>
    </row>
    <row r="505" spans="1:8" ht="14.25">
      <c r="A505" s="26"/>
      <c r="B505" s="26"/>
      <c r="C505" s="26"/>
      <c r="D505" s="26"/>
      <c r="E505" s="27"/>
      <c r="F505" s="27"/>
      <c r="G505" s="27"/>
      <c r="H505" s="28"/>
    </row>
    <row r="506" spans="1:8" ht="14.25">
      <c r="A506" s="26"/>
      <c r="B506" s="26"/>
      <c r="C506" s="26"/>
      <c r="D506" s="26"/>
      <c r="E506" s="27"/>
      <c r="F506" s="27"/>
      <c r="G506" s="27"/>
      <c r="H506" s="28"/>
    </row>
    <row r="507" spans="1:8" ht="14.25">
      <c r="A507" s="26"/>
      <c r="B507" s="26"/>
      <c r="C507" s="26"/>
      <c r="D507" s="26"/>
      <c r="E507" s="27"/>
      <c r="F507" s="27"/>
      <c r="G507" s="27"/>
      <c r="H507" s="28"/>
    </row>
    <row r="508" spans="1:8" ht="14.25">
      <c r="A508" s="26"/>
      <c r="B508" s="26"/>
      <c r="C508" s="26"/>
      <c r="D508" s="26"/>
      <c r="E508" s="27"/>
      <c r="F508" s="27"/>
      <c r="G508" s="27"/>
      <c r="H508" s="28"/>
    </row>
    <row r="509" spans="1:8" ht="14.25">
      <c r="A509" s="26"/>
      <c r="B509" s="26"/>
      <c r="C509" s="26"/>
      <c r="D509" s="26"/>
      <c r="E509" s="27"/>
      <c r="F509" s="27"/>
      <c r="G509" s="27"/>
      <c r="H509" s="28"/>
    </row>
    <row r="510" spans="1:8" ht="14.25">
      <c r="A510" s="26"/>
      <c r="B510" s="26"/>
      <c r="C510" s="26"/>
      <c r="D510" s="26"/>
      <c r="E510" s="27"/>
      <c r="F510" s="27"/>
      <c r="G510" s="27"/>
      <c r="H510" s="28"/>
    </row>
    <row r="511" spans="1:8" ht="14.25">
      <c r="A511" s="26"/>
      <c r="B511" s="26"/>
      <c r="C511" s="26"/>
      <c r="D511" s="26"/>
      <c r="E511" s="27"/>
      <c r="F511" s="27"/>
      <c r="G511" s="27"/>
      <c r="H511" s="28"/>
    </row>
    <row r="512" spans="1:8" ht="14.25">
      <c r="A512" s="26"/>
      <c r="B512" s="26"/>
      <c r="C512" s="26"/>
      <c r="D512" s="26"/>
      <c r="E512" s="27"/>
      <c r="F512" s="27"/>
      <c r="G512" s="27"/>
      <c r="H512" s="28"/>
    </row>
    <row r="513" spans="1:8" ht="14.25">
      <c r="A513" s="26"/>
      <c r="B513" s="26"/>
      <c r="C513" s="26"/>
      <c r="D513" s="26"/>
      <c r="E513" s="27"/>
      <c r="F513" s="27"/>
      <c r="G513" s="27"/>
      <c r="H513" s="28"/>
    </row>
    <row r="514" spans="1:8" ht="14.25">
      <c r="A514" s="26"/>
      <c r="B514" s="26"/>
      <c r="C514" s="26"/>
      <c r="D514" s="26"/>
      <c r="E514" s="27"/>
      <c r="F514" s="27"/>
      <c r="G514" s="27"/>
      <c r="H514" s="28"/>
    </row>
    <row r="515" spans="1:8" ht="14.25">
      <c r="A515" s="26"/>
      <c r="B515" s="26"/>
      <c r="C515" s="26"/>
      <c r="D515" s="26"/>
      <c r="E515" s="27"/>
      <c r="F515" s="27"/>
      <c r="G515" s="27"/>
      <c r="H515" s="28"/>
    </row>
    <row r="516" spans="1:8" ht="14.25">
      <c r="A516" s="26"/>
      <c r="B516" s="26"/>
      <c r="C516" s="26"/>
      <c r="D516" s="26"/>
      <c r="E516" s="27"/>
      <c r="F516" s="27"/>
      <c r="G516" s="27"/>
      <c r="H516" s="28"/>
    </row>
    <row r="517" spans="1:8" ht="14.25">
      <c r="A517" s="26"/>
      <c r="B517" s="26"/>
      <c r="C517" s="26"/>
      <c r="D517" s="26"/>
      <c r="E517" s="27"/>
      <c r="F517" s="27"/>
      <c r="G517" s="27"/>
      <c r="H517" s="28"/>
    </row>
    <row r="518" spans="1:8" ht="14.25">
      <c r="A518" s="26"/>
      <c r="B518" s="26"/>
      <c r="C518" s="26"/>
      <c r="D518" s="26"/>
      <c r="E518" s="27"/>
      <c r="F518" s="27"/>
      <c r="G518" s="27"/>
      <c r="H518" s="28"/>
    </row>
    <row r="519" spans="1:8" ht="14.25">
      <c r="A519" s="26"/>
      <c r="B519" s="26"/>
      <c r="C519" s="26"/>
      <c r="D519" s="26"/>
      <c r="E519" s="27"/>
      <c r="F519" s="27"/>
      <c r="G519" s="27"/>
      <c r="H519" s="28"/>
    </row>
    <row r="520" spans="1:8" ht="14.25">
      <c r="A520" s="26"/>
      <c r="B520" s="26"/>
      <c r="C520" s="26"/>
      <c r="D520" s="26"/>
      <c r="E520" s="27"/>
      <c r="F520" s="27"/>
      <c r="G520" s="27"/>
      <c r="H520" s="28"/>
    </row>
    <row r="521" spans="1:8" ht="14.25">
      <c r="A521" s="26"/>
      <c r="B521" s="26"/>
      <c r="C521" s="26"/>
      <c r="D521" s="26"/>
      <c r="E521" s="27"/>
      <c r="F521" s="27"/>
      <c r="G521" s="27"/>
      <c r="H521" s="28"/>
    </row>
    <row r="522" spans="1:8" ht="14.25">
      <c r="A522" s="26"/>
      <c r="B522" s="26"/>
      <c r="C522" s="26"/>
      <c r="D522" s="26"/>
      <c r="E522" s="27"/>
      <c r="F522" s="27"/>
      <c r="G522" s="27"/>
      <c r="H522" s="28"/>
    </row>
    <row r="523" spans="1:8" ht="14.25">
      <c r="A523" s="26"/>
      <c r="B523" s="26"/>
      <c r="C523" s="26"/>
      <c r="D523" s="26"/>
      <c r="E523" s="27"/>
      <c r="F523" s="27"/>
      <c r="G523" s="27"/>
      <c r="H523" s="28"/>
    </row>
    <row r="524" spans="1:8" ht="14.25">
      <c r="A524" s="26"/>
      <c r="B524" s="26"/>
      <c r="C524" s="26"/>
      <c r="D524" s="26"/>
      <c r="E524" s="27"/>
      <c r="F524" s="27"/>
      <c r="G524" s="27"/>
      <c r="H524" s="28"/>
    </row>
    <row r="525" spans="1:8" ht="14.25">
      <c r="A525" s="26"/>
      <c r="B525" s="26"/>
      <c r="C525" s="26"/>
      <c r="D525" s="26"/>
      <c r="E525" s="27"/>
      <c r="F525" s="27"/>
      <c r="G525" s="27"/>
      <c r="H525" s="28"/>
    </row>
    <row r="526" spans="1:8" ht="14.25">
      <c r="A526" s="26"/>
      <c r="B526" s="26"/>
      <c r="C526" s="26"/>
      <c r="D526" s="26"/>
      <c r="E526" s="27"/>
      <c r="F526" s="27"/>
      <c r="G526" s="27"/>
      <c r="H526" s="28"/>
    </row>
    <row r="527" spans="1:8" ht="14.25">
      <c r="A527" s="26"/>
      <c r="B527" s="26"/>
      <c r="C527" s="26"/>
      <c r="D527" s="26"/>
      <c r="E527" s="27"/>
      <c r="F527" s="27"/>
      <c r="G527" s="27"/>
      <c r="H527" s="28"/>
    </row>
    <row r="528" spans="1:8" ht="14.25">
      <c r="A528" s="26"/>
      <c r="B528" s="26"/>
      <c r="C528" s="26"/>
      <c r="D528" s="26"/>
      <c r="E528" s="27"/>
      <c r="F528" s="27"/>
      <c r="G528" s="27"/>
      <c r="H528" s="28"/>
    </row>
    <row r="529" spans="1:8" ht="14.25">
      <c r="A529" s="26"/>
      <c r="B529" s="26"/>
      <c r="C529" s="26"/>
      <c r="D529" s="26"/>
      <c r="E529" s="27"/>
      <c r="F529" s="27"/>
      <c r="G529" s="27"/>
      <c r="H529" s="28"/>
    </row>
    <row r="530" spans="1:8" ht="14.25">
      <c r="A530" s="26"/>
      <c r="B530" s="26"/>
      <c r="C530" s="26"/>
      <c r="D530" s="26"/>
      <c r="E530" s="27"/>
      <c r="F530" s="27"/>
      <c r="G530" s="27"/>
      <c r="H530" s="28"/>
    </row>
    <row r="531" spans="1:8" ht="14.25">
      <c r="A531" s="26"/>
      <c r="B531" s="26"/>
      <c r="C531" s="26"/>
      <c r="D531" s="26"/>
      <c r="E531" s="27"/>
      <c r="F531" s="27"/>
      <c r="G531" s="27"/>
      <c r="H531" s="28"/>
    </row>
    <row r="532" spans="1:8" ht="14.25">
      <c r="A532" s="26"/>
      <c r="B532" s="26"/>
      <c r="C532" s="26"/>
      <c r="D532" s="26"/>
      <c r="E532" s="27"/>
      <c r="F532" s="27"/>
      <c r="G532" s="27"/>
      <c r="H532" s="28"/>
    </row>
    <row r="533" spans="1:8" ht="14.25">
      <c r="A533" s="26"/>
      <c r="B533" s="26"/>
      <c r="C533" s="26"/>
      <c r="D533" s="26"/>
      <c r="E533" s="27"/>
      <c r="F533" s="27"/>
      <c r="G533" s="27"/>
      <c r="H533" s="28"/>
    </row>
    <row r="534" spans="1:8" ht="14.25">
      <c r="A534" s="26"/>
      <c r="B534" s="26"/>
      <c r="C534" s="26"/>
      <c r="D534" s="26"/>
      <c r="E534" s="27"/>
      <c r="F534" s="27"/>
      <c r="G534" s="27"/>
      <c r="H534" s="28"/>
    </row>
    <row r="535" spans="1:8" ht="14.25">
      <c r="A535" s="26"/>
      <c r="B535" s="26"/>
      <c r="C535" s="26"/>
      <c r="D535" s="26"/>
      <c r="E535" s="27"/>
      <c r="F535" s="27"/>
      <c r="G535" s="27"/>
      <c r="H535" s="28"/>
    </row>
    <row r="536" spans="1:8" ht="14.25">
      <c r="A536" s="26"/>
      <c r="B536" s="26"/>
      <c r="C536" s="26"/>
      <c r="D536" s="26"/>
      <c r="E536" s="27"/>
      <c r="F536" s="27"/>
      <c r="G536" s="27"/>
      <c r="H536" s="28"/>
    </row>
    <row r="537" spans="1:8" ht="14.25">
      <c r="A537" s="26"/>
      <c r="B537" s="26"/>
      <c r="C537" s="26"/>
      <c r="D537" s="26"/>
      <c r="E537" s="27"/>
      <c r="F537" s="27"/>
      <c r="G537" s="27"/>
      <c r="H537" s="28"/>
    </row>
    <row r="538" spans="1:8" ht="14.25">
      <c r="A538" s="26"/>
      <c r="B538" s="26"/>
      <c r="C538" s="26"/>
      <c r="D538" s="26"/>
      <c r="E538" s="27"/>
      <c r="F538" s="27"/>
      <c r="G538" s="27"/>
      <c r="H538" s="28"/>
    </row>
    <row r="539" spans="1:8" ht="14.25">
      <c r="A539" s="26"/>
      <c r="B539" s="26"/>
      <c r="C539" s="26"/>
      <c r="D539" s="26"/>
      <c r="E539" s="27"/>
      <c r="F539" s="27"/>
      <c r="G539" s="27"/>
      <c r="H539" s="28"/>
    </row>
    <row r="540" spans="1:8" ht="14.25">
      <c r="A540" s="26"/>
      <c r="B540" s="26"/>
      <c r="C540" s="26"/>
      <c r="D540" s="26"/>
      <c r="E540" s="27"/>
      <c r="F540" s="27"/>
      <c r="G540" s="27"/>
      <c r="H540" s="28"/>
    </row>
    <row r="541" spans="1:8" ht="14.25">
      <c r="A541" s="26"/>
      <c r="B541" s="26"/>
      <c r="C541" s="26"/>
      <c r="D541" s="26"/>
      <c r="E541" s="27"/>
      <c r="F541" s="27"/>
      <c r="G541" s="27"/>
      <c r="H541" s="28"/>
    </row>
    <row r="542" spans="1:8" ht="14.25">
      <c r="A542" s="26"/>
      <c r="B542" s="26"/>
      <c r="C542" s="26"/>
      <c r="D542" s="26"/>
      <c r="E542" s="27"/>
      <c r="F542" s="27"/>
      <c r="G542" s="27"/>
      <c r="H542" s="28"/>
    </row>
    <row r="543" spans="1:8" ht="14.25">
      <c r="A543" s="26"/>
      <c r="B543" s="26"/>
      <c r="C543" s="26"/>
      <c r="D543" s="26"/>
      <c r="E543" s="27"/>
      <c r="F543" s="27"/>
      <c r="G543" s="27"/>
      <c r="H543" s="28"/>
    </row>
    <row r="544" spans="1:8" ht="14.25">
      <c r="A544" s="26"/>
      <c r="B544" s="26"/>
      <c r="C544" s="26"/>
      <c r="D544" s="26"/>
      <c r="E544" s="27"/>
      <c r="F544" s="27"/>
      <c r="G544" s="27"/>
      <c r="H544" s="28"/>
    </row>
    <row r="545" spans="1:8" ht="14.25">
      <c r="A545" s="26"/>
      <c r="B545" s="26"/>
      <c r="C545" s="26"/>
      <c r="D545" s="26"/>
      <c r="E545" s="27"/>
      <c r="F545" s="27"/>
      <c r="G545" s="27"/>
      <c r="H545" s="28"/>
    </row>
    <row r="546" spans="1:8" ht="14.25">
      <c r="A546" s="26"/>
      <c r="B546" s="26"/>
      <c r="C546" s="26"/>
      <c r="D546" s="26"/>
      <c r="E546" s="27"/>
      <c r="F546" s="27"/>
      <c r="G546" s="27"/>
      <c r="H546" s="28"/>
    </row>
    <row r="547" spans="1:8" ht="14.25">
      <c r="A547" s="26"/>
      <c r="B547" s="26"/>
      <c r="C547" s="26"/>
      <c r="D547" s="26"/>
      <c r="E547" s="27"/>
      <c r="F547" s="27"/>
      <c r="G547" s="27"/>
      <c r="H547" s="28"/>
    </row>
    <row r="548" spans="1:8" ht="14.25">
      <c r="A548" s="26"/>
      <c r="B548" s="26"/>
      <c r="C548" s="26"/>
      <c r="D548" s="26"/>
      <c r="E548" s="27"/>
      <c r="F548" s="27"/>
      <c r="G548" s="27"/>
      <c r="H548" s="28"/>
    </row>
    <row r="549" spans="1:8" ht="14.25">
      <c r="A549" s="26"/>
      <c r="B549" s="26"/>
      <c r="C549" s="26"/>
      <c r="D549" s="26"/>
      <c r="E549" s="27"/>
      <c r="F549" s="27"/>
      <c r="G549" s="27"/>
      <c r="H549" s="28"/>
    </row>
    <row r="550" spans="1:8" ht="14.25">
      <c r="A550" s="26"/>
      <c r="B550" s="26"/>
      <c r="C550" s="26"/>
      <c r="D550" s="26"/>
      <c r="E550" s="27"/>
      <c r="F550" s="27"/>
      <c r="G550" s="27"/>
      <c r="H550" s="28"/>
    </row>
    <row r="551" spans="1:8" ht="14.25">
      <c r="A551" s="26"/>
      <c r="B551" s="26"/>
      <c r="C551" s="26"/>
      <c r="D551" s="26"/>
      <c r="E551" s="27"/>
      <c r="F551" s="27"/>
      <c r="G551" s="27"/>
      <c r="H551" s="28"/>
    </row>
    <row r="552" spans="1:8" ht="14.25">
      <c r="A552" s="26"/>
      <c r="B552" s="26"/>
      <c r="C552" s="26"/>
      <c r="D552" s="26"/>
      <c r="E552" s="27"/>
      <c r="F552" s="27"/>
      <c r="G552" s="27"/>
      <c r="H552" s="28"/>
    </row>
    <row r="553" spans="1:8" ht="14.25">
      <c r="A553" s="26"/>
      <c r="B553" s="26"/>
      <c r="C553" s="26"/>
      <c r="D553" s="26"/>
      <c r="E553" s="27"/>
      <c r="F553" s="27"/>
      <c r="G553" s="27"/>
      <c r="H553" s="28"/>
    </row>
    <row r="554" spans="1:8" ht="14.25">
      <c r="A554" s="26"/>
      <c r="B554" s="26"/>
      <c r="C554" s="26"/>
      <c r="D554" s="26"/>
      <c r="E554" s="27"/>
      <c r="F554" s="27"/>
      <c r="G554" s="27"/>
      <c r="H554" s="28"/>
    </row>
    <row r="555" spans="1:8" ht="14.25">
      <c r="A555" s="26"/>
      <c r="B555" s="26"/>
      <c r="C555" s="26"/>
      <c r="D555" s="26"/>
      <c r="E555" s="27"/>
      <c r="F555" s="27"/>
      <c r="G555" s="27"/>
      <c r="H555" s="28"/>
    </row>
    <row r="556" spans="1:8" ht="14.25">
      <c r="A556" s="26"/>
      <c r="B556" s="26"/>
      <c r="C556" s="26"/>
      <c r="D556" s="26"/>
      <c r="E556" s="27"/>
      <c r="F556" s="27"/>
      <c r="G556" s="27"/>
      <c r="H556" s="28"/>
    </row>
    <row r="557" spans="1:8" ht="14.25">
      <c r="A557" s="26"/>
      <c r="B557" s="26"/>
      <c r="C557" s="26"/>
      <c r="D557" s="26"/>
      <c r="E557" s="27"/>
      <c r="F557" s="27"/>
      <c r="G557" s="27"/>
      <c r="H557" s="28"/>
    </row>
    <row r="558" spans="1:8" ht="14.25">
      <c r="A558" s="26"/>
      <c r="B558" s="26"/>
      <c r="C558" s="26"/>
      <c r="D558" s="26"/>
      <c r="E558" s="27"/>
      <c r="F558" s="27"/>
      <c r="G558" s="27"/>
      <c r="H558" s="28"/>
    </row>
    <row r="559" spans="1:8" ht="14.25">
      <c r="A559" s="26"/>
      <c r="B559" s="26"/>
      <c r="C559" s="26"/>
      <c r="D559" s="26"/>
      <c r="E559" s="27"/>
      <c r="F559" s="27"/>
      <c r="G559" s="27"/>
      <c r="H559" s="28"/>
    </row>
    <row r="560" spans="1:8" ht="14.25">
      <c r="A560" s="26"/>
      <c r="B560" s="26"/>
      <c r="C560" s="26"/>
      <c r="D560" s="26"/>
      <c r="E560" s="27"/>
      <c r="F560" s="27"/>
      <c r="G560" s="27"/>
      <c r="H560" s="28"/>
    </row>
    <row r="561" spans="1:8" ht="14.25">
      <c r="A561" s="26"/>
      <c r="B561" s="26"/>
      <c r="C561" s="26"/>
      <c r="D561" s="26"/>
      <c r="E561" s="27"/>
      <c r="F561" s="27"/>
      <c r="G561" s="27"/>
      <c r="H561" s="28"/>
    </row>
    <row r="562" spans="1:8" ht="14.25">
      <c r="A562" s="26"/>
      <c r="B562" s="26"/>
      <c r="C562" s="26"/>
      <c r="D562" s="26"/>
      <c r="E562" s="27"/>
      <c r="F562" s="27"/>
      <c r="G562" s="27"/>
      <c r="H562" s="28"/>
    </row>
    <row r="563" spans="1:8" ht="14.25">
      <c r="A563" s="26"/>
      <c r="B563" s="26"/>
      <c r="C563" s="26"/>
      <c r="D563" s="26"/>
      <c r="E563" s="27"/>
      <c r="F563" s="27"/>
      <c r="G563" s="27"/>
      <c r="H563" s="28"/>
    </row>
    <row r="564" spans="1:8" ht="14.25">
      <c r="A564" s="26"/>
      <c r="B564" s="26"/>
      <c r="C564" s="26"/>
      <c r="D564" s="26"/>
      <c r="E564" s="27"/>
      <c r="F564" s="27"/>
      <c r="G564" s="27"/>
      <c r="H564" s="28"/>
    </row>
    <row r="565" spans="1:8" ht="14.25">
      <c r="A565" s="26"/>
      <c r="B565" s="26"/>
      <c r="C565" s="26"/>
      <c r="D565" s="26"/>
      <c r="E565" s="27"/>
      <c r="F565" s="27"/>
      <c r="G565" s="27"/>
      <c r="H565" s="28"/>
    </row>
    <row r="566" spans="1:8" ht="14.25">
      <c r="A566" s="26"/>
      <c r="B566" s="26"/>
      <c r="C566" s="26"/>
      <c r="D566" s="26"/>
      <c r="E566" s="27"/>
      <c r="F566" s="27"/>
      <c r="G566" s="27"/>
      <c r="H566" s="28"/>
    </row>
    <row r="567" spans="1:8" ht="14.25">
      <c r="A567" s="26"/>
      <c r="B567" s="26"/>
      <c r="C567" s="26"/>
      <c r="D567" s="26"/>
      <c r="E567" s="27"/>
      <c r="F567" s="27"/>
      <c r="G567" s="27"/>
      <c r="H567" s="28"/>
    </row>
    <row r="568" spans="1:8" ht="14.25">
      <c r="A568" s="26"/>
      <c r="B568" s="26"/>
      <c r="C568" s="26"/>
      <c r="D568" s="26"/>
      <c r="E568" s="27"/>
      <c r="F568" s="27"/>
      <c r="G568" s="27"/>
      <c r="H568" s="28"/>
    </row>
    <row r="569" spans="1:8" ht="14.25">
      <c r="A569" s="26"/>
      <c r="B569" s="26"/>
      <c r="C569" s="26"/>
      <c r="D569" s="26"/>
      <c r="E569" s="27"/>
      <c r="F569" s="27"/>
      <c r="G569" s="27"/>
      <c r="H569" s="28"/>
    </row>
    <row r="570" spans="1:8" ht="14.25">
      <c r="A570" s="26"/>
      <c r="B570" s="26"/>
      <c r="C570" s="26"/>
      <c r="D570" s="26"/>
      <c r="E570" s="27"/>
      <c r="F570" s="27"/>
      <c r="G570" s="27"/>
      <c r="H570" s="28"/>
    </row>
    <row r="571" spans="1:8" ht="14.25">
      <c r="A571" s="26"/>
      <c r="B571" s="26"/>
      <c r="C571" s="26"/>
      <c r="D571" s="26"/>
      <c r="E571" s="27"/>
      <c r="F571" s="27"/>
      <c r="G571" s="27"/>
      <c r="H571" s="28"/>
    </row>
    <row r="572" spans="1:8" ht="14.25">
      <c r="A572" s="26"/>
      <c r="B572" s="26"/>
      <c r="C572" s="26"/>
      <c r="D572" s="26"/>
      <c r="E572" s="27"/>
      <c r="F572" s="27"/>
      <c r="G572" s="27"/>
      <c r="H572" s="28"/>
    </row>
    <row r="573" spans="1:8" ht="14.25">
      <c r="A573" s="26"/>
      <c r="B573" s="26"/>
      <c r="C573" s="26"/>
      <c r="D573" s="26"/>
      <c r="E573" s="27"/>
      <c r="F573" s="27"/>
      <c r="G573" s="27"/>
      <c r="H573" s="28"/>
    </row>
    <row r="574" spans="1:8" ht="14.25">
      <c r="A574" s="26"/>
      <c r="B574" s="26"/>
      <c r="C574" s="26"/>
      <c r="D574" s="26"/>
      <c r="E574" s="27"/>
      <c r="F574" s="27"/>
      <c r="G574" s="27"/>
      <c r="H574" s="28"/>
    </row>
    <row r="575" spans="1:8" ht="14.25">
      <c r="A575" s="26"/>
      <c r="B575" s="26"/>
      <c r="C575" s="26"/>
      <c r="D575" s="26"/>
      <c r="E575" s="27"/>
      <c r="F575" s="27"/>
      <c r="G575" s="27"/>
      <c r="H575" s="28"/>
    </row>
    <row r="576" spans="1:8" ht="14.25">
      <c r="A576" s="26"/>
      <c r="B576" s="26"/>
      <c r="C576" s="26"/>
      <c r="D576" s="26"/>
      <c r="E576" s="27"/>
      <c r="F576" s="27"/>
      <c r="G576" s="27"/>
      <c r="H576" s="28"/>
    </row>
    <row r="577" spans="1:8" ht="14.25">
      <c r="A577" s="26"/>
      <c r="B577" s="26"/>
      <c r="C577" s="26"/>
      <c r="D577" s="26"/>
      <c r="E577" s="27"/>
      <c r="F577" s="27"/>
      <c r="G577" s="27"/>
      <c r="H577" s="28"/>
    </row>
    <row r="578" spans="1:8" ht="14.25">
      <c r="A578" s="26"/>
      <c r="B578" s="26"/>
      <c r="C578" s="26"/>
      <c r="D578" s="26"/>
      <c r="E578" s="27"/>
      <c r="F578" s="27"/>
      <c r="G578" s="27"/>
      <c r="H578" s="28"/>
    </row>
    <row r="579" spans="1:8" ht="14.25">
      <c r="A579" s="26"/>
      <c r="B579" s="26"/>
      <c r="C579" s="26"/>
      <c r="D579" s="26"/>
      <c r="E579" s="27"/>
      <c r="F579" s="27"/>
      <c r="G579" s="27"/>
      <c r="H579" s="28"/>
    </row>
    <row r="580" spans="1:8" ht="14.25">
      <c r="A580" s="26"/>
      <c r="B580" s="26"/>
      <c r="C580" s="26"/>
      <c r="D580" s="26"/>
      <c r="E580" s="27"/>
      <c r="F580" s="27"/>
      <c r="G580" s="27"/>
      <c r="H580" s="28"/>
    </row>
    <row r="581" spans="1:8" ht="14.25">
      <c r="A581" s="26"/>
      <c r="B581" s="26"/>
      <c r="C581" s="26"/>
      <c r="D581" s="26"/>
      <c r="E581" s="27"/>
      <c r="F581" s="27"/>
      <c r="G581" s="27"/>
      <c r="H581" s="28"/>
    </row>
    <row r="582" spans="1:8" ht="14.25">
      <c r="A582" s="26"/>
      <c r="B582" s="26"/>
      <c r="C582" s="26"/>
      <c r="D582" s="26"/>
      <c r="E582" s="27"/>
      <c r="F582" s="27"/>
      <c r="G582" s="27"/>
      <c r="H582" s="28"/>
    </row>
    <row r="583" spans="1:8" ht="14.25">
      <c r="A583" s="26"/>
      <c r="B583" s="26"/>
      <c r="C583" s="26"/>
      <c r="D583" s="26"/>
      <c r="E583" s="27"/>
      <c r="F583" s="27"/>
      <c r="G583" s="27"/>
      <c r="H583" s="28"/>
    </row>
    <row r="584" spans="1:8" ht="14.25">
      <c r="A584" s="26"/>
      <c r="B584" s="26"/>
      <c r="C584" s="26"/>
      <c r="D584" s="26"/>
      <c r="E584" s="27"/>
      <c r="F584" s="27"/>
      <c r="G584" s="27"/>
      <c r="H584" s="28"/>
    </row>
    <row r="585" spans="1:8" ht="14.25">
      <c r="A585" s="26"/>
      <c r="B585" s="26"/>
      <c r="C585" s="26"/>
      <c r="D585" s="26"/>
      <c r="E585" s="27"/>
      <c r="F585" s="27"/>
      <c r="G585" s="27"/>
      <c r="H585" s="28"/>
    </row>
    <row r="586" spans="1:8" ht="14.25">
      <c r="A586" s="26"/>
      <c r="B586" s="26"/>
      <c r="C586" s="26"/>
      <c r="D586" s="26"/>
      <c r="E586" s="27"/>
      <c r="F586" s="27"/>
      <c r="G586" s="27"/>
      <c r="H586" s="28"/>
    </row>
    <row r="587" spans="1:8" ht="14.25">
      <c r="A587" s="26"/>
      <c r="B587" s="26"/>
      <c r="C587" s="26"/>
      <c r="D587" s="26"/>
      <c r="E587" s="27"/>
      <c r="F587" s="27"/>
      <c r="G587" s="27"/>
      <c r="H587" s="28"/>
    </row>
    <row r="588" spans="1:8" ht="14.25">
      <c r="A588" s="26"/>
      <c r="B588" s="26"/>
      <c r="C588" s="26"/>
      <c r="D588" s="26"/>
      <c r="E588" s="27"/>
      <c r="F588" s="27"/>
      <c r="G588" s="27"/>
      <c r="H588" s="28"/>
    </row>
    <row r="589" spans="1:8" ht="14.25">
      <c r="A589" s="26"/>
      <c r="B589" s="26"/>
      <c r="C589" s="26"/>
      <c r="D589" s="26"/>
      <c r="E589" s="27"/>
      <c r="F589" s="27"/>
      <c r="G589" s="27"/>
      <c r="H589" s="28"/>
    </row>
    <row r="590" spans="1:8" ht="14.25">
      <c r="A590" s="26"/>
      <c r="B590" s="26"/>
      <c r="C590" s="26"/>
      <c r="D590" s="26"/>
      <c r="E590" s="27"/>
      <c r="F590" s="27"/>
      <c r="G590" s="27"/>
      <c r="H590" s="28"/>
    </row>
    <row r="591" spans="1:8" ht="14.25">
      <c r="A591" s="26"/>
      <c r="B591" s="26"/>
      <c r="C591" s="26"/>
      <c r="D591" s="26"/>
      <c r="E591" s="27"/>
      <c r="F591" s="27"/>
      <c r="G591" s="27"/>
      <c r="H591" s="28"/>
    </row>
    <row r="592" spans="1:8" ht="14.25">
      <c r="A592" s="26"/>
      <c r="B592" s="26"/>
      <c r="C592" s="26"/>
      <c r="D592" s="26"/>
      <c r="E592" s="27"/>
      <c r="F592" s="27"/>
      <c r="G592" s="27"/>
      <c r="H592" s="28"/>
    </row>
    <row r="593" spans="1:8" ht="14.25">
      <c r="A593" s="26"/>
      <c r="B593" s="26"/>
      <c r="C593" s="26"/>
      <c r="D593" s="26"/>
      <c r="E593" s="27"/>
      <c r="F593" s="27"/>
      <c r="G593" s="27"/>
      <c r="H593" s="28"/>
    </row>
    <row r="594" spans="1:8" ht="14.25">
      <c r="A594" s="26"/>
      <c r="B594" s="26"/>
      <c r="C594" s="26"/>
      <c r="D594" s="26"/>
      <c r="E594" s="27"/>
      <c r="F594" s="27"/>
      <c r="G594" s="27"/>
      <c r="H594" s="28"/>
    </row>
    <row r="595" spans="1:8" ht="14.25">
      <c r="A595" s="26"/>
      <c r="B595" s="26"/>
      <c r="C595" s="26"/>
      <c r="D595" s="26"/>
      <c r="E595" s="27"/>
      <c r="F595" s="27"/>
      <c r="G595" s="27"/>
      <c r="H595" s="28"/>
    </row>
    <row r="596" spans="1:8" ht="14.25">
      <c r="A596" s="26"/>
      <c r="B596" s="26"/>
      <c r="C596" s="26"/>
      <c r="D596" s="26"/>
      <c r="E596" s="27"/>
      <c r="F596" s="27"/>
      <c r="G596" s="27"/>
      <c r="H596" s="28"/>
    </row>
    <row r="597" spans="1:8" ht="14.25">
      <c r="A597" s="26"/>
      <c r="B597" s="26"/>
      <c r="C597" s="26"/>
      <c r="D597" s="26"/>
      <c r="E597" s="27"/>
      <c r="F597" s="27"/>
      <c r="G597" s="27"/>
      <c r="H597" s="28"/>
    </row>
    <row r="598" spans="1:8" ht="14.25">
      <c r="A598" s="26"/>
      <c r="B598" s="26"/>
      <c r="C598" s="26"/>
      <c r="D598" s="26"/>
      <c r="E598" s="27"/>
      <c r="F598" s="27"/>
      <c r="G598" s="27"/>
      <c r="H598" s="28"/>
    </row>
    <row r="599" spans="1:8" ht="14.25">
      <c r="A599" s="26"/>
      <c r="B599" s="26"/>
      <c r="C599" s="26"/>
      <c r="D599" s="26"/>
      <c r="E599" s="27"/>
      <c r="F599" s="27"/>
      <c r="G599" s="27"/>
      <c r="H599" s="28"/>
    </row>
    <row r="600" spans="1:8" ht="14.25">
      <c r="A600" s="26"/>
      <c r="B600" s="26"/>
      <c r="C600" s="26"/>
      <c r="D600" s="26"/>
      <c r="E600" s="27"/>
      <c r="F600" s="27"/>
      <c r="G600" s="27"/>
      <c r="H600" s="28"/>
    </row>
    <row r="601" spans="1:8" ht="14.25">
      <c r="A601" s="26"/>
      <c r="B601" s="26"/>
      <c r="C601" s="26"/>
      <c r="D601" s="26"/>
      <c r="E601" s="27"/>
      <c r="F601" s="27"/>
      <c r="G601" s="27"/>
      <c r="H601" s="28"/>
    </row>
    <row r="602" spans="1:8" ht="14.25">
      <c r="A602" s="26"/>
      <c r="B602" s="26"/>
      <c r="C602" s="26"/>
      <c r="D602" s="26"/>
      <c r="E602" s="27"/>
      <c r="F602" s="27"/>
      <c r="G602" s="27"/>
      <c r="H602" s="28"/>
    </row>
    <row r="603" spans="1:8" ht="14.25">
      <c r="A603" s="26"/>
      <c r="B603" s="26"/>
      <c r="C603" s="26"/>
      <c r="D603" s="26"/>
      <c r="E603" s="27"/>
      <c r="F603" s="27"/>
      <c r="G603" s="27"/>
      <c r="H603" s="28"/>
    </row>
    <row r="604" spans="1:8" ht="14.25">
      <c r="A604" s="26"/>
      <c r="B604" s="26"/>
      <c r="C604" s="26"/>
      <c r="D604" s="26"/>
      <c r="E604" s="27"/>
      <c r="F604" s="27"/>
      <c r="G604" s="27"/>
      <c r="H604" s="28"/>
    </row>
    <row r="605" spans="1:8" ht="14.25">
      <c r="A605" s="26"/>
      <c r="B605" s="26"/>
      <c r="C605" s="26"/>
      <c r="D605" s="26"/>
      <c r="E605" s="27"/>
      <c r="F605" s="27"/>
      <c r="G605" s="27"/>
      <c r="H605" s="28"/>
    </row>
    <row r="606" spans="1:8" ht="14.25">
      <c r="A606" s="26"/>
      <c r="B606" s="26"/>
      <c r="C606" s="26"/>
      <c r="D606" s="26"/>
      <c r="E606" s="27"/>
      <c r="F606" s="27"/>
      <c r="G606" s="27"/>
      <c r="H606" s="28"/>
    </row>
    <row r="607" spans="1:8" ht="14.25">
      <c r="A607" s="26"/>
      <c r="B607" s="26"/>
      <c r="C607" s="26"/>
      <c r="D607" s="26"/>
      <c r="E607" s="27"/>
      <c r="F607" s="27"/>
      <c r="G607" s="27"/>
      <c r="H607" s="28"/>
    </row>
    <row r="608" spans="1:8" ht="14.25">
      <c r="A608" s="26"/>
      <c r="B608" s="26"/>
      <c r="C608" s="26"/>
      <c r="D608" s="26"/>
      <c r="E608" s="27"/>
      <c r="F608" s="27"/>
      <c r="G608" s="27"/>
      <c r="H608" s="28"/>
    </row>
    <row r="609" spans="1:8" ht="14.25">
      <c r="A609" s="26"/>
      <c r="B609" s="26"/>
      <c r="C609" s="26"/>
      <c r="D609" s="26"/>
      <c r="E609" s="27"/>
      <c r="F609" s="27"/>
      <c r="G609" s="27"/>
      <c r="H609" s="28"/>
    </row>
    <row r="610" spans="1:8" ht="14.25">
      <c r="A610" s="26"/>
      <c r="B610" s="26"/>
      <c r="C610" s="26"/>
      <c r="D610" s="26"/>
      <c r="E610" s="27"/>
      <c r="F610" s="27"/>
      <c r="G610" s="27"/>
      <c r="H610" s="28"/>
    </row>
    <row r="611" spans="1:8" ht="14.25">
      <c r="A611" s="26"/>
      <c r="B611" s="26"/>
      <c r="C611" s="26"/>
      <c r="D611" s="26"/>
      <c r="E611" s="27"/>
      <c r="F611" s="27"/>
      <c r="G611" s="27"/>
      <c r="H611" s="28"/>
    </row>
    <row r="612" spans="1:8" ht="14.25">
      <c r="A612" s="26"/>
      <c r="B612" s="26"/>
      <c r="C612" s="26"/>
      <c r="D612" s="26"/>
      <c r="E612" s="27"/>
      <c r="F612" s="27"/>
      <c r="G612" s="27"/>
      <c r="H612" s="28"/>
    </row>
    <row r="613" spans="1:8" ht="14.25">
      <c r="A613" s="26"/>
      <c r="B613" s="26"/>
      <c r="C613" s="26"/>
      <c r="D613" s="26"/>
      <c r="E613" s="27"/>
      <c r="F613" s="27"/>
      <c r="G613" s="27"/>
      <c r="H613" s="28"/>
    </row>
    <row r="614" spans="1:8" ht="14.25">
      <c r="A614" s="26"/>
      <c r="B614" s="26"/>
      <c r="C614" s="26"/>
      <c r="D614" s="26"/>
      <c r="E614" s="27"/>
      <c r="F614" s="27"/>
      <c r="G614" s="27"/>
      <c r="H614" s="28"/>
    </row>
    <row r="615" spans="1:8" ht="14.25">
      <c r="A615" s="26"/>
      <c r="B615" s="26"/>
      <c r="C615" s="26"/>
      <c r="D615" s="26"/>
      <c r="E615" s="27"/>
      <c r="F615" s="27"/>
      <c r="G615" s="27"/>
      <c r="H615" s="28"/>
    </row>
    <row r="616" spans="1:8" ht="14.25">
      <c r="A616" s="26"/>
      <c r="B616" s="26"/>
      <c r="C616" s="26"/>
      <c r="D616" s="26"/>
      <c r="E616" s="27"/>
      <c r="F616" s="27"/>
      <c r="G616" s="27"/>
      <c r="H616" s="28"/>
    </row>
    <row r="617" spans="1:8" ht="14.25">
      <c r="A617" s="26"/>
      <c r="B617" s="26"/>
      <c r="C617" s="26"/>
      <c r="D617" s="26"/>
      <c r="E617" s="27"/>
      <c r="F617" s="27"/>
      <c r="G617" s="27"/>
      <c r="H617" s="28"/>
    </row>
    <row r="618" spans="1:8" ht="14.25">
      <c r="A618" s="26"/>
      <c r="B618" s="26"/>
      <c r="C618" s="26"/>
      <c r="D618" s="26"/>
      <c r="E618" s="27"/>
      <c r="F618" s="27"/>
      <c r="G618" s="27"/>
      <c r="H618" s="28"/>
    </row>
    <row r="619" spans="1:8" ht="14.25">
      <c r="A619" s="26"/>
      <c r="B619" s="26"/>
      <c r="C619" s="26"/>
      <c r="D619" s="26"/>
      <c r="E619" s="27"/>
      <c r="F619" s="27"/>
      <c r="G619" s="27"/>
      <c r="H619" s="28"/>
    </row>
    <row r="620" spans="1:8" ht="14.25">
      <c r="A620" s="26"/>
      <c r="B620" s="26"/>
      <c r="C620" s="26"/>
      <c r="D620" s="26"/>
      <c r="E620" s="27"/>
      <c r="F620" s="27"/>
      <c r="G620" s="27"/>
      <c r="H620" s="28"/>
    </row>
    <row r="621" spans="1:8" ht="14.25">
      <c r="A621" s="26"/>
      <c r="B621" s="26"/>
      <c r="C621" s="26"/>
      <c r="D621" s="26"/>
      <c r="E621" s="27"/>
      <c r="F621" s="27"/>
      <c r="G621" s="27"/>
      <c r="H621" s="28"/>
    </row>
    <row r="622" spans="1:8" ht="14.25">
      <c r="A622" s="26"/>
      <c r="B622" s="26"/>
      <c r="C622" s="26"/>
      <c r="D622" s="26"/>
      <c r="E622" s="27"/>
      <c r="F622" s="27"/>
      <c r="G622" s="27"/>
      <c r="H622" s="28"/>
    </row>
    <row r="623" spans="1:8" ht="14.25">
      <c r="A623" s="26"/>
      <c r="B623" s="26"/>
      <c r="C623" s="26"/>
      <c r="D623" s="26"/>
      <c r="E623" s="27"/>
      <c r="F623" s="27"/>
      <c r="G623" s="27"/>
      <c r="H623" s="28"/>
    </row>
    <row r="624" spans="1:8" ht="14.25">
      <c r="A624" s="26"/>
      <c r="B624" s="26"/>
      <c r="C624" s="26"/>
      <c r="D624" s="26"/>
      <c r="E624" s="27"/>
      <c r="F624" s="27"/>
      <c r="G624" s="27"/>
      <c r="H624" s="28"/>
    </row>
    <row r="625" spans="1:8" ht="14.25">
      <c r="A625" s="26"/>
      <c r="B625" s="26"/>
      <c r="C625" s="26"/>
      <c r="D625" s="26"/>
      <c r="E625" s="27"/>
      <c r="F625" s="27"/>
      <c r="G625" s="27"/>
      <c r="H625" s="28"/>
    </row>
    <row r="626" spans="1:8" ht="14.25">
      <c r="A626" s="26"/>
      <c r="B626" s="26"/>
      <c r="C626" s="26"/>
      <c r="D626" s="26"/>
      <c r="E626" s="27"/>
      <c r="F626" s="27"/>
      <c r="G626" s="27"/>
      <c r="H626" s="28"/>
    </row>
    <row r="627" spans="1:8" ht="14.25">
      <c r="A627" s="26"/>
      <c r="B627" s="26"/>
      <c r="C627" s="26"/>
      <c r="D627" s="26"/>
      <c r="E627" s="27"/>
      <c r="F627" s="27"/>
      <c r="G627" s="27"/>
      <c r="H627" s="28"/>
    </row>
    <row r="628" spans="1:8" ht="14.25">
      <c r="A628" s="26"/>
      <c r="B628" s="26"/>
      <c r="C628" s="26"/>
      <c r="D628" s="26"/>
      <c r="E628" s="27"/>
      <c r="F628" s="27"/>
      <c r="G628" s="27"/>
      <c r="H628" s="28"/>
    </row>
    <row r="629" spans="1:8" ht="14.25">
      <c r="A629" s="26"/>
      <c r="B629" s="26"/>
      <c r="C629" s="26"/>
      <c r="D629" s="26"/>
      <c r="E629" s="27"/>
      <c r="F629" s="27"/>
      <c r="G629" s="27"/>
      <c r="H629" s="28"/>
    </row>
    <row r="630" spans="1:8" ht="14.25">
      <c r="A630" s="26"/>
      <c r="B630" s="26"/>
      <c r="C630" s="26"/>
      <c r="D630" s="26"/>
      <c r="E630" s="27"/>
      <c r="F630" s="27"/>
      <c r="G630" s="27"/>
      <c r="H630" s="28"/>
    </row>
    <row r="631" spans="1:8" ht="14.25">
      <c r="A631" s="26"/>
      <c r="B631" s="26"/>
      <c r="C631" s="26"/>
      <c r="D631" s="26"/>
      <c r="E631" s="27"/>
      <c r="F631" s="27"/>
      <c r="G631" s="27"/>
      <c r="H631" s="28"/>
    </row>
    <row r="632" spans="1:8" ht="14.25">
      <c r="A632" s="26"/>
      <c r="B632" s="26"/>
      <c r="C632" s="26"/>
      <c r="D632" s="26"/>
      <c r="E632" s="27"/>
      <c r="F632" s="27"/>
      <c r="G632" s="27"/>
      <c r="H632" s="28"/>
    </row>
    <row r="633" spans="1:8" ht="14.25">
      <c r="A633" s="26"/>
      <c r="B633" s="26"/>
      <c r="C633" s="26"/>
      <c r="D633" s="26"/>
      <c r="E633" s="27"/>
      <c r="F633" s="27"/>
      <c r="G633" s="27"/>
      <c r="H633" s="28"/>
    </row>
    <row r="634" spans="1:8" ht="14.25">
      <c r="A634" s="26"/>
      <c r="B634" s="26"/>
      <c r="C634" s="26"/>
      <c r="D634" s="26"/>
      <c r="E634" s="27"/>
      <c r="F634" s="27"/>
      <c r="G634" s="27"/>
      <c r="H634" s="28"/>
    </row>
    <row r="635" spans="1:8" ht="14.25">
      <c r="A635" s="26"/>
      <c r="B635" s="26"/>
      <c r="C635" s="26"/>
      <c r="D635" s="26"/>
      <c r="E635" s="27"/>
      <c r="F635" s="27"/>
      <c r="G635" s="27"/>
      <c r="H635" s="28"/>
    </row>
    <row r="636" spans="1:8" ht="14.25">
      <c r="A636" s="26"/>
      <c r="B636" s="26"/>
      <c r="C636" s="26"/>
      <c r="D636" s="26"/>
      <c r="E636" s="27"/>
      <c r="F636" s="27"/>
      <c r="G636" s="27"/>
      <c r="H636" s="28"/>
    </row>
    <row r="637" spans="1:8" ht="14.25">
      <c r="A637" s="26"/>
      <c r="B637" s="26"/>
      <c r="C637" s="26"/>
      <c r="D637" s="26"/>
      <c r="E637" s="27"/>
      <c r="F637" s="27"/>
      <c r="G637" s="27"/>
      <c r="H637" s="28"/>
    </row>
    <row r="638" spans="1:8" ht="14.25">
      <c r="A638" s="26"/>
      <c r="B638" s="26"/>
      <c r="C638" s="26"/>
      <c r="D638" s="26"/>
      <c r="E638" s="27"/>
      <c r="F638" s="27"/>
      <c r="G638" s="27"/>
      <c r="H638" s="28"/>
    </row>
    <row r="639" spans="1:8" ht="14.25">
      <c r="A639" s="26"/>
      <c r="B639" s="26"/>
      <c r="C639" s="26"/>
      <c r="D639" s="26"/>
      <c r="E639" s="27"/>
      <c r="F639" s="27"/>
      <c r="G639" s="27"/>
      <c r="H639" s="28"/>
    </row>
    <row r="640" spans="1:8" ht="14.25">
      <c r="A640" s="26"/>
      <c r="B640" s="26"/>
      <c r="C640" s="26"/>
      <c r="D640" s="26"/>
      <c r="E640" s="27"/>
      <c r="F640" s="27"/>
      <c r="G640" s="27"/>
      <c r="H640" s="28"/>
    </row>
    <row r="641" spans="1:8" ht="14.25">
      <c r="A641" s="26"/>
      <c r="B641" s="26"/>
      <c r="C641" s="26"/>
      <c r="D641" s="26"/>
      <c r="E641" s="27"/>
      <c r="F641" s="27"/>
      <c r="G641" s="27"/>
      <c r="H641" s="28"/>
    </row>
    <row r="642" spans="1:8" ht="14.25">
      <c r="A642" s="26"/>
      <c r="B642" s="26"/>
      <c r="C642" s="26"/>
      <c r="D642" s="26"/>
      <c r="E642" s="27"/>
      <c r="F642" s="27"/>
      <c r="G642" s="27"/>
      <c r="H642" s="28"/>
    </row>
    <row r="643" spans="1:8" ht="14.25">
      <c r="A643" s="26"/>
      <c r="B643" s="26"/>
      <c r="C643" s="26"/>
      <c r="D643" s="26"/>
      <c r="E643" s="27"/>
      <c r="F643" s="27"/>
      <c r="G643" s="27"/>
      <c r="H643" s="28"/>
    </row>
    <row r="644" spans="1:8" ht="14.25">
      <c r="A644" s="26"/>
      <c r="B644" s="26"/>
      <c r="C644" s="26"/>
      <c r="D644" s="26"/>
      <c r="E644" s="27"/>
      <c r="F644" s="27"/>
      <c r="G644" s="27"/>
      <c r="H644" s="28"/>
    </row>
    <row r="645" spans="1:8" ht="14.25">
      <c r="A645" s="26"/>
      <c r="B645" s="26"/>
      <c r="C645" s="26"/>
      <c r="D645" s="26"/>
      <c r="E645" s="27"/>
      <c r="F645" s="27"/>
      <c r="G645" s="27"/>
      <c r="H645" s="28"/>
    </row>
    <row r="646" spans="1:8" ht="14.25">
      <c r="A646" s="26"/>
      <c r="B646" s="26"/>
      <c r="C646" s="26"/>
      <c r="D646" s="26"/>
      <c r="E646" s="27"/>
      <c r="F646" s="27"/>
      <c r="G646" s="27"/>
      <c r="H646" s="28"/>
    </row>
    <row r="647" spans="1:8" ht="14.25">
      <c r="A647" s="26"/>
      <c r="B647" s="26"/>
      <c r="C647" s="26"/>
      <c r="D647" s="26"/>
      <c r="E647" s="27"/>
      <c r="F647" s="27"/>
      <c r="G647" s="27"/>
      <c r="H647" s="28"/>
    </row>
    <row r="648" spans="1:8" ht="14.25">
      <c r="A648" s="26"/>
      <c r="B648" s="26"/>
      <c r="C648" s="26"/>
      <c r="D648" s="26"/>
      <c r="E648" s="27"/>
      <c r="F648" s="27"/>
      <c r="G648" s="27"/>
      <c r="H648" s="28"/>
    </row>
    <row r="649" spans="1:8" ht="14.25">
      <c r="A649" s="26"/>
      <c r="B649" s="26"/>
      <c r="C649" s="26"/>
      <c r="D649" s="26"/>
      <c r="E649" s="27"/>
      <c r="F649" s="27"/>
      <c r="G649" s="27"/>
      <c r="H649" s="28"/>
    </row>
    <row r="650" spans="1:8" ht="14.25">
      <c r="A650" s="26"/>
      <c r="B650" s="26"/>
      <c r="C650" s="26"/>
      <c r="D650" s="26"/>
      <c r="E650" s="27"/>
      <c r="F650" s="27"/>
      <c r="G650" s="27"/>
      <c r="H650" s="28"/>
    </row>
    <row r="651" spans="1:8" ht="14.25">
      <c r="A651" s="26"/>
      <c r="B651" s="26"/>
      <c r="C651" s="26"/>
      <c r="D651" s="26"/>
      <c r="E651" s="27"/>
      <c r="F651" s="27"/>
      <c r="G651" s="27"/>
      <c r="H651" s="28"/>
    </row>
    <row r="652" spans="1:8" ht="14.25">
      <c r="A652" s="26"/>
      <c r="B652" s="26"/>
      <c r="C652" s="26"/>
      <c r="D652" s="26"/>
      <c r="E652" s="27"/>
      <c r="F652" s="27"/>
      <c r="G652" s="27"/>
      <c r="H652" s="28"/>
    </row>
    <row r="653" spans="1:8" ht="14.25">
      <c r="A653" s="26"/>
      <c r="B653" s="26"/>
      <c r="C653" s="26"/>
      <c r="D653" s="26"/>
      <c r="E653" s="27"/>
      <c r="F653" s="27"/>
      <c r="G653" s="27"/>
      <c r="H653" s="28"/>
    </row>
    <row r="654" spans="1:8" ht="14.25">
      <c r="A654" s="26"/>
      <c r="B654" s="26"/>
      <c r="C654" s="26"/>
      <c r="D654" s="26"/>
      <c r="E654" s="27"/>
      <c r="F654" s="27"/>
      <c r="G654" s="27"/>
      <c r="H654" s="28"/>
    </row>
    <row r="655" spans="1:8" ht="14.25">
      <c r="A655" s="26"/>
      <c r="B655" s="26"/>
      <c r="C655" s="26"/>
      <c r="D655" s="26"/>
      <c r="E655" s="27"/>
      <c r="F655" s="27"/>
      <c r="G655" s="27"/>
      <c r="H655" s="28"/>
    </row>
    <row r="656" spans="1:8" ht="14.25">
      <c r="A656" s="26"/>
      <c r="B656" s="26"/>
      <c r="C656" s="26"/>
      <c r="D656" s="26"/>
      <c r="E656" s="27"/>
      <c r="F656" s="27"/>
      <c r="G656" s="27"/>
      <c r="H656" s="28"/>
    </row>
    <row r="657" spans="1:8" ht="14.25">
      <c r="A657" s="26"/>
      <c r="B657" s="26"/>
      <c r="C657" s="26"/>
      <c r="D657" s="26"/>
      <c r="E657" s="27"/>
      <c r="F657" s="27"/>
      <c r="G657" s="27"/>
      <c r="H657" s="28"/>
    </row>
    <row r="658" spans="1:8" ht="14.25">
      <c r="A658" s="26"/>
      <c r="B658" s="26"/>
      <c r="C658" s="26"/>
      <c r="D658" s="26"/>
      <c r="E658" s="27"/>
      <c r="F658" s="27"/>
      <c r="G658" s="27"/>
      <c r="H658" s="28"/>
    </row>
    <row r="659" spans="1:8" ht="14.25">
      <c r="A659" s="26"/>
      <c r="B659" s="26"/>
      <c r="C659" s="26"/>
      <c r="D659" s="26"/>
      <c r="E659" s="27"/>
      <c r="F659" s="27"/>
      <c r="G659" s="27"/>
      <c r="H659" s="28"/>
    </row>
    <row r="660" spans="1:8" ht="14.25">
      <c r="A660" s="26"/>
      <c r="B660" s="26"/>
      <c r="C660" s="26"/>
      <c r="D660" s="26"/>
      <c r="E660" s="27"/>
      <c r="F660" s="27"/>
      <c r="G660" s="27"/>
      <c r="H660" s="28"/>
    </row>
    <row r="661" spans="1:8" ht="14.25">
      <c r="A661" s="26"/>
      <c r="B661" s="26"/>
      <c r="C661" s="26"/>
      <c r="D661" s="26"/>
      <c r="E661" s="27"/>
      <c r="F661" s="27"/>
      <c r="G661" s="27"/>
      <c r="H661" s="28"/>
    </row>
    <row r="662" spans="1:8" ht="14.25">
      <c r="A662" s="26"/>
      <c r="B662" s="26"/>
      <c r="C662" s="26"/>
      <c r="D662" s="26"/>
      <c r="E662" s="27"/>
      <c r="F662" s="27"/>
      <c r="G662" s="27"/>
      <c r="H662" s="28"/>
    </row>
    <row r="663" spans="1:8" ht="14.25">
      <c r="A663" s="26"/>
      <c r="B663" s="26"/>
      <c r="C663" s="26"/>
      <c r="D663" s="26"/>
      <c r="E663" s="27"/>
      <c r="F663" s="27"/>
      <c r="G663" s="27"/>
      <c r="H663" s="28"/>
    </row>
    <row r="664" spans="1:8" ht="14.25">
      <c r="A664" s="26"/>
      <c r="B664" s="26"/>
      <c r="C664" s="26"/>
      <c r="D664" s="26"/>
      <c r="E664" s="27"/>
      <c r="F664" s="27"/>
      <c r="G664" s="27"/>
      <c r="H664" s="28"/>
    </row>
    <row r="665" spans="1:8" ht="14.25">
      <c r="A665" s="26"/>
      <c r="B665" s="26"/>
      <c r="C665" s="26"/>
      <c r="D665" s="26"/>
      <c r="E665" s="27"/>
      <c r="F665" s="27"/>
      <c r="G665" s="27"/>
      <c r="H665" s="28"/>
    </row>
    <row r="666" spans="1:8" ht="14.25">
      <c r="A666" s="26"/>
      <c r="B666" s="26"/>
      <c r="C666" s="26"/>
      <c r="D666" s="26"/>
      <c r="E666" s="27"/>
      <c r="F666" s="27"/>
      <c r="G666" s="27"/>
      <c r="H666" s="28"/>
    </row>
    <row r="667" spans="1:8" ht="14.25">
      <c r="A667" s="26"/>
      <c r="B667" s="26"/>
      <c r="C667" s="26"/>
      <c r="D667" s="26"/>
      <c r="E667" s="27"/>
      <c r="F667" s="27"/>
      <c r="G667" s="27"/>
      <c r="H667" s="28"/>
    </row>
    <row r="668" spans="1:8" ht="14.25">
      <c r="A668" s="26"/>
      <c r="B668" s="26"/>
      <c r="C668" s="26"/>
      <c r="D668" s="26"/>
      <c r="E668" s="27"/>
      <c r="F668" s="27"/>
      <c r="G668" s="27"/>
      <c r="H668" s="28"/>
    </row>
    <row r="669" spans="1:8" ht="14.25">
      <c r="A669" s="26"/>
      <c r="B669" s="26"/>
      <c r="C669" s="26"/>
      <c r="D669" s="26"/>
      <c r="E669" s="27"/>
      <c r="F669" s="27"/>
      <c r="G669" s="27"/>
      <c r="H669" s="28"/>
    </row>
    <row r="670" spans="1:8" ht="14.25">
      <c r="A670" s="26"/>
      <c r="B670" s="26"/>
      <c r="C670" s="26"/>
      <c r="D670" s="26"/>
      <c r="E670" s="27"/>
      <c r="F670" s="27"/>
      <c r="G670" s="27"/>
      <c r="H670" s="28"/>
    </row>
    <row r="671" spans="1:8" ht="14.25">
      <c r="A671" s="26"/>
      <c r="B671" s="26"/>
      <c r="C671" s="26"/>
      <c r="D671" s="26"/>
      <c r="E671" s="27"/>
      <c r="F671" s="27"/>
      <c r="G671" s="27"/>
      <c r="H671" s="28"/>
    </row>
    <row r="672" spans="1:8" ht="14.25">
      <c r="A672" s="26"/>
      <c r="B672" s="26"/>
      <c r="C672" s="26"/>
      <c r="D672" s="26"/>
      <c r="E672" s="27"/>
      <c r="F672" s="27"/>
      <c r="G672" s="27"/>
      <c r="H672" s="28"/>
    </row>
    <row r="673" spans="1:8" ht="14.25">
      <c r="A673" s="26"/>
      <c r="B673" s="26"/>
      <c r="C673" s="26"/>
      <c r="D673" s="26"/>
      <c r="E673" s="27"/>
      <c r="F673" s="27"/>
      <c r="G673" s="27"/>
      <c r="H673" s="28"/>
    </row>
    <row r="674" spans="1:8" ht="14.25">
      <c r="A674" s="26"/>
      <c r="B674" s="26"/>
      <c r="C674" s="26"/>
      <c r="D674" s="26"/>
      <c r="E674" s="27"/>
      <c r="F674" s="27"/>
      <c r="G674" s="27"/>
      <c r="H674" s="28"/>
    </row>
    <row r="675" spans="1:8" ht="14.25">
      <c r="A675" s="26"/>
      <c r="B675" s="26"/>
      <c r="C675" s="26"/>
      <c r="D675" s="26"/>
      <c r="E675" s="27"/>
      <c r="F675" s="27"/>
      <c r="G675" s="27"/>
      <c r="H675" s="28"/>
    </row>
    <row r="676" spans="1:8" ht="14.25">
      <c r="A676" s="26"/>
      <c r="B676" s="26"/>
      <c r="C676" s="26"/>
      <c r="D676" s="26"/>
      <c r="E676" s="27"/>
      <c r="F676" s="27"/>
      <c r="G676" s="27"/>
      <c r="H676" s="28"/>
    </row>
    <row r="677" spans="1:8" ht="14.25">
      <c r="A677" s="26"/>
      <c r="B677" s="26"/>
      <c r="C677" s="26"/>
      <c r="D677" s="26"/>
      <c r="E677" s="27"/>
      <c r="F677" s="27"/>
      <c r="G677" s="27"/>
      <c r="H677" s="28"/>
    </row>
    <row r="678" spans="1:8" ht="14.25">
      <c r="A678" s="26"/>
      <c r="B678" s="26"/>
      <c r="C678" s="26"/>
      <c r="D678" s="26"/>
      <c r="E678" s="27"/>
      <c r="F678" s="27"/>
      <c r="G678" s="27"/>
      <c r="H678" s="28"/>
    </row>
    <row r="679" spans="1:8" ht="14.25">
      <c r="A679" s="26"/>
      <c r="B679" s="26"/>
      <c r="C679" s="26"/>
      <c r="D679" s="26"/>
      <c r="E679" s="27"/>
      <c r="F679" s="27"/>
      <c r="G679" s="27"/>
      <c r="H679" s="28"/>
    </row>
    <row r="680" spans="1:8" ht="14.25">
      <c r="A680" s="26"/>
      <c r="B680" s="26"/>
      <c r="C680" s="26"/>
      <c r="D680" s="26"/>
      <c r="E680" s="27"/>
      <c r="F680" s="27"/>
      <c r="G680" s="27"/>
      <c r="H680" s="28"/>
    </row>
    <row r="681" spans="1:8" ht="14.25">
      <c r="A681" s="26"/>
      <c r="B681" s="26"/>
      <c r="C681" s="26"/>
      <c r="D681" s="26"/>
      <c r="E681" s="27"/>
      <c r="F681" s="27"/>
      <c r="G681" s="27"/>
      <c r="H681" s="28"/>
    </row>
    <row r="682" spans="1:8" ht="14.25">
      <c r="A682" s="26"/>
      <c r="B682" s="26"/>
      <c r="C682" s="26"/>
      <c r="D682" s="26"/>
      <c r="E682" s="27"/>
      <c r="F682" s="27"/>
      <c r="G682" s="27"/>
      <c r="H682" s="28"/>
    </row>
    <row r="683" spans="1:8" ht="14.25">
      <c r="A683" s="26"/>
      <c r="B683" s="26"/>
      <c r="C683" s="26"/>
      <c r="D683" s="26"/>
      <c r="E683" s="27"/>
      <c r="F683" s="27"/>
      <c r="G683" s="27"/>
      <c r="H683" s="28"/>
    </row>
    <row r="684" spans="1:8" ht="14.25">
      <c r="A684" s="26"/>
      <c r="B684" s="26"/>
      <c r="C684" s="26"/>
      <c r="D684" s="26"/>
      <c r="E684" s="27"/>
      <c r="F684" s="27"/>
      <c r="G684" s="27"/>
      <c r="H684" s="28"/>
    </row>
    <row r="685" spans="1:8" ht="14.25">
      <c r="A685" s="26"/>
      <c r="B685" s="26"/>
      <c r="C685" s="26"/>
      <c r="D685" s="26"/>
      <c r="E685" s="27"/>
      <c r="F685" s="27"/>
      <c r="G685" s="27"/>
      <c r="H685" s="28"/>
    </row>
    <row r="686" spans="1:8" ht="14.25">
      <c r="A686" s="26"/>
      <c r="B686" s="26"/>
      <c r="C686" s="26"/>
      <c r="D686" s="26"/>
      <c r="E686" s="27"/>
      <c r="F686" s="27"/>
      <c r="G686" s="27"/>
      <c r="H686" s="28"/>
    </row>
    <row r="687" spans="1:8" ht="14.25">
      <c r="A687" s="26"/>
      <c r="B687" s="26"/>
      <c r="C687" s="26"/>
      <c r="D687" s="26"/>
      <c r="E687" s="27"/>
      <c r="F687" s="27"/>
      <c r="G687" s="27"/>
      <c r="H687" s="28"/>
    </row>
    <row r="688" spans="1:8" ht="14.25">
      <c r="A688" s="26"/>
      <c r="B688" s="26"/>
      <c r="C688" s="26"/>
      <c r="D688" s="26"/>
      <c r="E688" s="27"/>
      <c r="F688" s="27"/>
      <c r="G688" s="27"/>
      <c r="H688" s="28"/>
    </row>
    <row r="689" spans="1:8" ht="14.25">
      <c r="A689" s="26"/>
      <c r="B689" s="26"/>
      <c r="C689" s="26"/>
      <c r="D689" s="26"/>
      <c r="E689" s="27"/>
      <c r="F689" s="27"/>
      <c r="G689" s="27"/>
      <c r="H689" s="28"/>
    </row>
    <row r="690" spans="1:8" ht="14.25">
      <c r="A690" s="26"/>
      <c r="B690" s="26"/>
      <c r="C690" s="26"/>
      <c r="D690" s="26"/>
      <c r="E690" s="27"/>
      <c r="F690" s="27"/>
      <c r="G690" s="27"/>
      <c r="H690" s="28"/>
    </row>
    <row r="691" spans="1:8" ht="14.25">
      <c r="A691" s="26"/>
      <c r="B691" s="26"/>
      <c r="C691" s="26"/>
      <c r="D691" s="26"/>
      <c r="E691" s="27"/>
      <c r="F691" s="27"/>
      <c r="G691" s="27"/>
      <c r="H691" s="28"/>
    </row>
    <row r="692" spans="1:8" ht="14.25">
      <c r="A692" s="26"/>
      <c r="B692" s="26"/>
      <c r="C692" s="26"/>
      <c r="D692" s="26"/>
      <c r="E692" s="27"/>
      <c r="F692" s="27"/>
      <c r="G692" s="27"/>
      <c r="H692" s="28"/>
    </row>
    <row r="693" spans="1:8" ht="14.25">
      <c r="A693" s="26"/>
      <c r="B693" s="26"/>
      <c r="C693" s="26"/>
      <c r="D693" s="26"/>
      <c r="E693" s="27"/>
      <c r="F693" s="27"/>
      <c r="G693" s="27"/>
      <c r="H693" s="28"/>
    </row>
    <row r="694" spans="1:8" ht="14.25">
      <c r="A694" s="26"/>
      <c r="B694" s="26"/>
      <c r="C694" s="26"/>
      <c r="D694" s="26"/>
      <c r="E694" s="27"/>
      <c r="F694" s="27"/>
      <c r="G694" s="27"/>
      <c r="H694" s="28"/>
    </row>
    <row r="695" spans="1:8" ht="14.25">
      <c r="A695" s="26"/>
      <c r="B695" s="26"/>
      <c r="C695" s="26"/>
      <c r="D695" s="26"/>
      <c r="E695" s="27"/>
      <c r="F695" s="27"/>
      <c r="G695" s="27"/>
      <c r="H695" s="28"/>
    </row>
    <row r="696" spans="1:8" ht="14.25">
      <c r="A696" s="26"/>
      <c r="B696" s="26"/>
      <c r="C696" s="26"/>
      <c r="D696" s="26"/>
      <c r="E696" s="27"/>
      <c r="F696" s="27"/>
      <c r="G696" s="27"/>
      <c r="H696" s="28"/>
    </row>
    <row r="697" spans="1:8" ht="14.25">
      <c r="A697" s="26"/>
      <c r="B697" s="26"/>
      <c r="C697" s="26"/>
      <c r="D697" s="26"/>
      <c r="E697" s="27"/>
      <c r="F697" s="27"/>
      <c r="G697" s="27"/>
      <c r="H697" s="28"/>
    </row>
    <row r="698" spans="1:8" ht="14.25">
      <c r="A698" s="26"/>
      <c r="B698" s="26"/>
      <c r="C698" s="26"/>
      <c r="D698" s="26"/>
      <c r="E698" s="27"/>
      <c r="F698" s="27"/>
      <c r="G698" s="27"/>
      <c r="H698" s="28"/>
    </row>
    <row r="699" spans="1:8" ht="14.25">
      <c r="A699" s="26"/>
      <c r="B699" s="26"/>
      <c r="C699" s="26"/>
      <c r="D699" s="26"/>
      <c r="E699" s="27"/>
      <c r="F699" s="27"/>
      <c r="G699" s="27"/>
      <c r="H699" s="28"/>
    </row>
    <row r="700" spans="1:8" ht="14.25">
      <c r="A700" s="26"/>
      <c r="B700" s="26"/>
      <c r="C700" s="26"/>
      <c r="D700" s="26"/>
      <c r="E700" s="27"/>
      <c r="F700" s="27"/>
      <c r="G700" s="27"/>
      <c r="H700" s="28"/>
    </row>
    <row r="701" spans="1:8" ht="14.25">
      <c r="A701" s="26"/>
      <c r="B701" s="26"/>
      <c r="C701" s="26"/>
      <c r="D701" s="26"/>
      <c r="E701" s="27"/>
      <c r="F701" s="27"/>
      <c r="G701" s="27"/>
      <c r="H701" s="28"/>
    </row>
    <row r="702" spans="1:8" ht="14.25">
      <c r="A702" s="26"/>
      <c r="B702" s="26"/>
      <c r="C702" s="26"/>
      <c r="D702" s="26"/>
      <c r="E702" s="27"/>
      <c r="F702" s="27"/>
      <c r="G702" s="27"/>
      <c r="H702" s="28"/>
    </row>
    <row r="703" spans="1:8" ht="14.25">
      <c r="A703" s="26"/>
      <c r="B703" s="26"/>
      <c r="C703" s="26"/>
      <c r="D703" s="26"/>
      <c r="E703" s="27"/>
      <c r="F703" s="27"/>
      <c r="G703" s="27"/>
      <c r="H703" s="28"/>
    </row>
    <row r="704" spans="1:8" ht="14.25">
      <c r="A704" s="26"/>
      <c r="B704" s="26"/>
      <c r="C704" s="26"/>
      <c r="D704" s="26"/>
      <c r="E704" s="27"/>
      <c r="F704" s="27"/>
      <c r="G704" s="27"/>
      <c r="H704" s="28"/>
    </row>
    <row r="705" spans="1:8" ht="14.25">
      <c r="A705" s="26"/>
      <c r="B705" s="26"/>
      <c r="C705" s="26"/>
      <c r="D705" s="26"/>
      <c r="E705" s="27"/>
      <c r="F705" s="27"/>
      <c r="G705" s="27"/>
      <c r="H705" s="28"/>
    </row>
    <row r="706" spans="1:8" ht="14.25">
      <c r="A706" s="26"/>
      <c r="B706" s="26"/>
      <c r="C706" s="26"/>
      <c r="D706" s="26"/>
      <c r="E706" s="27"/>
      <c r="F706" s="27"/>
      <c r="G706" s="27"/>
      <c r="H706" s="28"/>
    </row>
    <row r="707" spans="1:8" ht="14.25">
      <c r="A707" s="26"/>
      <c r="B707" s="26"/>
      <c r="C707" s="26"/>
      <c r="D707" s="26"/>
      <c r="E707" s="27"/>
      <c r="F707" s="27"/>
      <c r="G707" s="27"/>
      <c r="H707" s="28"/>
    </row>
    <row r="708" spans="1:8" ht="14.25">
      <c r="A708" s="26"/>
      <c r="B708" s="26"/>
      <c r="C708" s="26"/>
      <c r="D708" s="26"/>
      <c r="E708" s="27"/>
      <c r="F708" s="27"/>
      <c r="G708" s="27"/>
      <c r="H708" s="28"/>
    </row>
    <row r="709" spans="1:8" ht="14.25">
      <c r="A709" s="26"/>
      <c r="B709" s="26"/>
      <c r="C709" s="26"/>
      <c r="D709" s="26"/>
      <c r="E709" s="27"/>
      <c r="F709" s="27"/>
      <c r="G709" s="27"/>
      <c r="H709" s="28"/>
    </row>
    <row r="710" spans="1:8" ht="14.25">
      <c r="A710" s="26"/>
      <c r="B710" s="26"/>
      <c r="C710" s="26"/>
      <c r="D710" s="26"/>
      <c r="E710" s="27"/>
      <c r="F710" s="27"/>
      <c r="G710" s="27"/>
      <c r="H710" s="28"/>
    </row>
    <row r="711" spans="1:8" ht="14.25">
      <c r="A711" s="26"/>
      <c r="B711" s="26"/>
      <c r="C711" s="26"/>
      <c r="D711" s="26"/>
      <c r="E711" s="27"/>
      <c r="F711" s="27"/>
      <c r="G711" s="27"/>
      <c r="H711" s="28"/>
    </row>
    <row r="712" spans="1:8" ht="14.25">
      <c r="A712" s="26"/>
      <c r="B712" s="26"/>
      <c r="C712" s="26"/>
      <c r="D712" s="26"/>
      <c r="E712" s="27"/>
      <c r="F712" s="27"/>
      <c r="G712" s="27"/>
      <c r="H712" s="28"/>
    </row>
    <row r="713" spans="1:8" ht="14.25">
      <c r="A713" s="26"/>
      <c r="B713" s="26"/>
      <c r="C713" s="26"/>
      <c r="D713" s="26"/>
      <c r="E713" s="27"/>
      <c r="F713" s="27"/>
      <c r="G713" s="27"/>
      <c r="H713" s="28"/>
    </row>
    <row r="714" spans="1:8" ht="14.25">
      <c r="A714" s="26"/>
      <c r="B714" s="26"/>
      <c r="C714" s="26"/>
      <c r="D714" s="26"/>
      <c r="E714" s="27"/>
      <c r="F714" s="27"/>
      <c r="G714" s="27"/>
      <c r="H714" s="28"/>
    </row>
    <row r="715" spans="1:8" ht="14.25">
      <c r="A715" s="26"/>
      <c r="B715" s="26"/>
      <c r="C715" s="26"/>
      <c r="D715" s="26"/>
      <c r="E715" s="27"/>
      <c r="F715" s="27"/>
      <c r="G715" s="27"/>
      <c r="H715" s="28"/>
    </row>
    <row r="716" spans="1:8" ht="14.25">
      <c r="A716" s="26"/>
      <c r="B716" s="26"/>
      <c r="C716" s="26"/>
      <c r="D716" s="26"/>
      <c r="E716" s="27"/>
      <c r="F716" s="27"/>
      <c r="G716" s="27"/>
      <c r="H716" s="28"/>
    </row>
    <row r="717" spans="1:8" ht="14.25">
      <c r="A717" s="26"/>
      <c r="B717" s="26"/>
      <c r="C717" s="26"/>
      <c r="D717" s="26"/>
      <c r="E717" s="27"/>
      <c r="F717" s="27"/>
      <c r="G717" s="27"/>
      <c r="H717" s="28"/>
    </row>
    <row r="718" spans="1:8" ht="14.25">
      <c r="A718" s="26"/>
      <c r="B718" s="26"/>
      <c r="C718" s="26"/>
      <c r="D718" s="26"/>
      <c r="E718" s="27"/>
      <c r="F718" s="27"/>
      <c r="G718" s="27"/>
      <c r="H718" s="28"/>
    </row>
    <row r="719" spans="1:8" ht="14.25">
      <c r="A719" s="26"/>
      <c r="B719" s="26"/>
      <c r="C719" s="26"/>
      <c r="D719" s="26"/>
      <c r="E719" s="27"/>
      <c r="F719" s="27"/>
      <c r="G719" s="27"/>
      <c r="H719" s="28"/>
    </row>
    <row r="720" spans="1:8" ht="14.25">
      <c r="A720" s="26"/>
      <c r="B720" s="26"/>
      <c r="C720" s="26"/>
      <c r="D720" s="26"/>
      <c r="E720" s="27"/>
      <c r="F720" s="27"/>
      <c r="G720" s="27"/>
      <c r="H720" s="28"/>
    </row>
    <row r="721" spans="1:8" ht="14.25">
      <c r="A721" s="26"/>
      <c r="B721" s="26"/>
      <c r="C721" s="26"/>
      <c r="D721" s="26"/>
      <c r="E721" s="27"/>
      <c r="F721" s="27"/>
      <c r="G721" s="27"/>
      <c r="H721" s="28"/>
    </row>
    <row r="722" spans="1:8" ht="14.25">
      <c r="A722" s="26"/>
      <c r="B722" s="26"/>
      <c r="C722" s="26"/>
      <c r="D722" s="26"/>
      <c r="E722" s="27"/>
      <c r="F722" s="27"/>
      <c r="G722" s="27"/>
      <c r="H722" s="28"/>
    </row>
    <row r="723" spans="1:8" ht="14.25">
      <c r="A723" s="26"/>
      <c r="B723" s="26"/>
      <c r="C723" s="26"/>
      <c r="D723" s="26"/>
      <c r="E723" s="27"/>
      <c r="F723" s="27"/>
      <c r="G723" s="27"/>
      <c r="H723" s="28"/>
    </row>
    <row r="724" spans="1:8" ht="14.25">
      <c r="A724" s="26"/>
      <c r="B724" s="26"/>
      <c r="C724" s="26"/>
      <c r="D724" s="26"/>
      <c r="E724" s="27"/>
      <c r="F724" s="27"/>
      <c r="G724" s="27"/>
      <c r="H724" s="28"/>
    </row>
    <row r="725" spans="1:8" ht="14.25">
      <c r="A725" s="26"/>
      <c r="B725" s="26"/>
      <c r="C725" s="26"/>
      <c r="D725" s="26"/>
      <c r="E725" s="27"/>
      <c r="F725" s="27"/>
      <c r="G725" s="27"/>
      <c r="H725" s="28"/>
    </row>
    <row r="726" spans="1:8" ht="14.25">
      <c r="A726" s="26"/>
      <c r="B726" s="26"/>
      <c r="C726" s="26"/>
      <c r="D726" s="26"/>
      <c r="E726" s="27"/>
      <c r="F726" s="27"/>
      <c r="G726" s="27"/>
      <c r="H726" s="28"/>
    </row>
    <row r="727" spans="1:8" ht="14.25">
      <c r="A727" s="26"/>
      <c r="B727" s="26"/>
      <c r="C727" s="26"/>
      <c r="D727" s="26"/>
      <c r="E727" s="27"/>
      <c r="F727" s="27"/>
      <c r="G727" s="27"/>
      <c r="H727" s="28"/>
    </row>
    <row r="728" spans="1:8" ht="14.25">
      <c r="A728" s="26"/>
      <c r="B728" s="26"/>
      <c r="C728" s="26"/>
      <c r="D728" s="26"/>
      <c r="E728" s="27"/>
      <c r="F728" s="27"/>
      <c r="G728" s="27"/>
      <c r="H728" s="28"/>
    </row>
    <row r="729" spans="1:8" ht="14.25">
      <c r="A729" s="26"/>
      <c r="B729" s="26"/>
      <c r="C729" s="26"/>
      <c r="D729" s="26"/>
      <c r="E729" s="27"/>
      <c r="F729" s="27"/>
      <c r="G729" s="27"/>
      <c r="H729" s="28"/>
    </row>
    <row r="730" spans="1:8" ht="14.25">
      <c r="A730" s="26"/>
      <c r="B730" s="26"/>
      <c r="C730" s="26"/>
      <c r="D730" s="26"/>
      <c r="E730" s="27"/>
      <c r="F730" s="27"/>
      <c r="G730" s="27"/>
      <c r="H730" s="28"/>
    </row>
    <row r="731" spans="1:8" ht="14.25">
      <c r="A731" s="26"/>
      <c r="B731" s="26"/>
      <c r="C731" s="26"/>
      <c r="D731" s="26"/>
      <c r="E731" s="27"/>
      <c r="F731" s="27"/>
      <c r="G731" s="27"/>
      <c r="H731" s="28"/>
    </row>
    <row r="732" spans="1:8" ht="14.25">
      <c r="A732" s="26"/>
      <c r="B732" s="26"/>
      <c r="C732" s="26"/>
      <c r="D732" s="26"/>
      <c r="E732" s="27"/>
      <c r="F732" s="27"/>
      <c r="G732" s="27"/>
      <c r="H732" s="28"/>
    </row>
    <row r="733" spans="1:8" ht="14.25">
      <c r="A733" s="26"/>
      <c r="B733" s="26"/>
      <c r="C733" s="26"/>
      <c r="D733" s="26"/>
      <c r="E733" s="27"/>
      <c r="F733" s="27"/>
      <c r="G733" s="27"/>
      <c r="H733" s="28"/>
    </row>
    <row r="734" spans="1:8" ht="14.25">
      <c r="A734" s="26"/>
      <c r="B734" s="26"/>
      <c r="C734" s="26"/>
      <c r="D734" s="26"/>
      <c r="E734" s="27"/>
      <c r="F734" s="27"/>
      <c r="G734" s="27"/>
      <c r="H734" s="28"/>
    </row>
    <row r="735" spans="1:8" ht="14.25">
      <c r="A735" s="26"/>
      <c r="B735" s="26"/>
      <c r="C735" s="26"/>
      <c r="D735" s="26"/>
      <c r="E735" s="27"/>
      <c r="F735" s="27"/>
      <c r="G735" s="27"/>
      <c r="H735" s="28"/>
    </row>
    <row r="736" spans="1:8" ht="14.25">
      <c r="A736" s="26"/>
      <c r="B736" s="26"/>
      <c r="C736" s="26"/>
      <c r="D736" s="26"/>
      <c r="E736" s="27"/>
      <c r="F736" s="27"/>
      <c r="G736" s="27"/>
      <c r="H736" s="28"/>
    </row>
    <row r="737" spans="1:8" ht="14.25">
      <c r="A737" s="26"/>
      <c r="B737" s="26"/>
      <c r="C737" s="26"/>
      <c r="D737" s="26"/>
      <c r="E737" s="27"/>
      <c r="F737" s="27"/>
      <c r="G737" s="27"/>
      <c r="H737" s="28"/>
    </row>
    <row r="738" spans="1:8" ht="14.25">
      <c r="A738" s="26"/>
      <c r="B738" s="26"/>
      <c r="C738" s="26"/>
      <c r="D738" s="26"/>
      <c r="E738" s="27"/>
      <c r="F738" s="27"/>
      <c r="G738" s="27"/>
      <c r="H738" s="28"/>
    </row>
    <row r="739" spans="1:8" ht="14.25">
      <c r="A739" s="26"/>
      <c r="B739" s="26"/>
      <c r="C739" s="26"/>
      <c r="D739" s="26"/>
      <c r="E739" s="27"/>
      <c r="F739" s="27"/>
      <c r="G739" s="27"/>
      <c r="H739" s="28"/>
    </row>
    <row r="740" spans="1:8" ht="14.25">
      <c r="A740" s="26"/>
      <c r="B740" s="26"/>
      <c r="C740" s="26"/>
      <c r="D740" s="26"/>
      <c r="E740" s="27"/>
      <c r="F740" s="27"/>
      <c r="G740" s="27"/>
      <c r="H740" s="28"/>
    </row>
    <row r="741" spans="1:8" ht="14.25">
      <c r="A741" s="26"/>
      <c r="B741" s="26"/>
      <c r="C741" s="26"/>
      <c r="D741" s="26"/>
      <c r="E741" s="27"/>
      <c r="F741" s="27"/>
      <c r="G741" s="27"/>
      <c r="H741" s="28"/>
    </row>
    <row r="742" spans="1:8" ht="14.25">
      <c r="A742" s="26"/>
      <c r="B742" s="26"/>
      <c r="C742" s="26"/>
      <c r="D742" s="26"/>
      <c r="E742" s="27"/>
      <c r="F742" s="27"/>
      <c r="G742" s="27"/>
      <c r="H742" s="28"/>
    </row>
    <row r="743" spans="1:8" ht="14.25">
      <c r="A743" s="26"/>
      <c r="B743" s="26"/>
      <c r="C743" s="26"/>
      <c r="D743" s="26"/>
      <c r="E743" s="27"/>
      <c r="F743" s="27"/>
      <c r="G743" s="27"/>
      <c r="H743" s="28"/>
    </row>
    <row r="744" spans="1:8" ht="14.25">
      <c r="A744" s="26"/>
      <c r="B744" s="26"/>
      <c r="C744" s="26"/>
      <c r="D744" s="26"/>
      <c r="E744" s="27"/>
      <c r="F744" s="27"/>
      <c r="G744" s="27"/>
      <c r="H744" s="28"/>
    </row>
    <row r="745" spans="1:8" ht="14.25">
      <c r="A745" s="26"/>
      <c r="B745" s="26"/>
      <c r="C745" s="26"/>
      <c r="D745" s="26"/>
      <c r="E745" s="27"/>
      <c r="F745" s="27"/>
      <c r="G745" s="27"/>
      <c r="H745" s="28"/>
    </row>
    <row r="746" spans="1:8" ht="14.25">
      <c r="A746" s="26"/>
      <c r="B746" s="26"/>
      <c r="C746" s="26"/>
      <c r="D746" s="26"/>
      <c r="E746" s="27"/>
      <c r="F746" s="27"/>
      <c r="G746" s="27"/>
      <c r="H746" s="28"/>
    </row>
    <row r="747" spans="1:8" ht="14.25">
      <c r="A747" s="26"/>
      <c r="B747" s="26"/>
      <c r="C747" s="26"/>
      <c r="D747" s="26"/>
      <c r="E747" s="27"/>
      <c r="F747" s="27"/>
      <c r="G747" s="27"/>
      <c r="H747" s="28"/>
    </row>
    <row r="748" spans="1:8" ht="14.25">
      <c r="A748" s="26"/>
      <c r="B748" s="26"/>
      <c r="C748" s="26"/>
      <c r="D748" s="26"/>
      <c r="E748" s="27"/>
      <c r="F748" s="27"/>
      <c r="G748" s="27"/>
      <c r="H748" s="28"/>
    </row>
    <row r="749" spans="1:8" ht="14.25">
      <c r="A749" s="26"/>
      <c r="B749" s="26"/>
      <c r="C749" s="26"/>
      <c r="D749" s="26"/>
      <c r="E749" s="27"/>
      <c r="F749" s="27"/>
      <c r="G749" s="27"/>
      <c r="H749" s="28"/>
    </row>
    <row r="750" spans="1:8" ht="14.25">
      <c r="A750" s="26"/>
      <c r="B750" s="26"/>
      <c r="C750" s="26"/>
      <c r="D750" s="26"/>
      <c r="E750" s="27"/>
      <c r="F750" s="27"/>
      <c r="G750" s="27"/>
      <c r="H750" s="28"/>
    </row>
    <row r="751" spans="1:8" ht="14.25">
      <c r="A751" s="26"/>
      <c r="B751" s="26"/>
      <c r="C751" s="26"/>
      <c r="D751" s="26"/>
      <c r="E751" s="27"/>
      <c r="F751" s="27"/>
      <c r="G751" s="27"/>
      <c r="H751" s="28"/>
    </row>
    <row r="752" spans="1:8" ht="14.25">
      <c r="A752" s="26"/>
      <c r="B752" s="26"/>
      <c r="C752" s="26"/>
      <c r="D752" s="26"/>
      <c r="E752" s="27"/>
      <c r="F752" s="27"/>
      <c r="G752" s="27"/>
      <c r="H752" s="28"/>
    </row>
    <row r="753" spans="1:8" ht="14.25">
      <c r="A753" s="26"/>
      <c r="B753" s="26"/>
      <c r="C753" s="26"/>
      <c r="D753" s="26"/>
      <c r="E753" s="27"/>
      <c r="F753" s="27"/>
      <c r="G753" s="27"/>
      <c r="H753" s="28"/>
    </row>
    <row r="754" spans="1:8" ht="14.25">
      <c r="A754" s="26"/>
      <c r="B754" s="26"/>
      <c r="C754" s="26"/>
      <c r="D754" s="26"/>
      <c r="E754" s="27"/>
      <c r="F754" s="27"/>
      <c r="G754" s="27"/>
      <c r="H754" s="28"/>
    </row>
    <row r="755" spans="1:8" ht="14.25">
      <c r="A755" s="26"/>
      <c r="B755" s="26"/>
      <c r="C755" s="26"/>
      <c r="D755" s="26"/>
      <c r="E755" s="27"/>
      <c r="F755" s="27"/>
      <c r="G755" s="27"/>
      <c r="H755" s="28"/>
    </row>
    <row r="756" spans="1:8" ht="14.25">
      <c r="A756" s="26"/>
      <c r="B756" s="26"/>
      <c r="C756" s="26"/>
      <c r="D756" s="26"/>
      <c r="E756" s="27"/>
      <c r="F756" s="27"/>
      <c r="G756" s="27"/>
      <c r="H756" s="28"/>
    </row>
    <row r="757" spans="1:8" ht="14.25">
      <c r="A757" s="26"/>
      <c r="B757" s="26"/>
      <c r="C757" s="26"/>
      <c r="D757" s="26"/>
      <c r="E757" s="27"/>
      <c r="F757" s="27"/>
      <c r="G757" s="27"/>
      <c r="H757" s="28"/>
    </row>
    <row r="758" spans="1:8" ht="14.25">
      <c r="A758" s="26"/>
      <c r="B758" s="26"/>
      <c r="C758" s="26"/>
      <c r="D758" s="26"/>
      <c r="E758" s="27"/>
      <c r="F758" s="27"/>
      <c r="G758" s="27"/>
      <c r="H758" s="28"/>
    </row>
    <row r="759" spans="1:8" ht="14.25">
      <c r="A759" s="26"/>
      <c r="B759" s="26"/>
      <c r="C759" s="26"/>
      <c r="D759" s="26"/>
      <c r="E759" s="27"/>
      <c r="F759" s="27"/>
      <c r="G759" s="27"/>
      <c r="H759" s="28"/>
    </row>
    <row r="760" spans="1:8" ht="14.25">
      <c r="A760" s="26"/>
      <c r="B760" s="26"/>
      <c r="C760" s="26"/>
      <c r="D760" s="26"/>
      <c r="E760" s="27"/>
      <c r="F760" s="27"/>
      <c r="G760" s="27"/>
      <c r="H760" s="28"/>
    </row>
    <row r="761" spans="1:8" ht="14.25">
      <c r="A761" s="26"/>
      <c r="B761" s="26"/>
      <c r="C761" s="26"/>
      <c r="D761" s="26"/>
      <c r="E761" s="27"/>
      <c r="F761" s="27"/>
      <c r="G761" s="27"/>
      <c r="H761" s="28"/>
    </row>
    <row r="762" spans="1:8" ht="14.25">
      <c r="A762" s="26"/>
      <c r="B762" s="26"/>
      <c r="C762" s="26"/>
      <c r="D762" s="26"/>
      <c r="E762" s="27"/>
      <c r="F762" s="27"/>
      <c r="G762" s="27"/>
      <c r="H762" s="28"/>
    </row>
    <row r="763" spans="1:8" ht="14.25">
      <c r="A763" s="26"/>
      <c r="B763" s="26"/>
      <c r="C763" s="26"/>
      <c r="D763" s="26"/>
      <c r="E763" s="27"/>
      <c r="F763" s="27"/>
      <c r="G763" s="27"/>
      <c r="H763" s="28"/>
    </row>
    <row r="764" spans="1:8" ht="14.25">
      <c r="A764" s="26"/>
      <c r="B764" s="26"/>
      <c r="C764" s="26"/>
      <c r="D764" s="26"/>
      <c r="E764" s="27"/>
      <c r="F764" s="27"/>
      <c r="G764" s="27"/>
      <c r="H764" s="28"/>
    </row>
    <row r="765" spans="1:8" ht="14.25">
      <c r="A765" s="26"/>
      <c r="B765" s="26"/>
      <c r="C765" s="26"/>
      <c r="D765" s="26"/>
      <c r="E765" s="27"/>
      <c r="F765" s="27"/>
      <c r="G765" s="27"/>
      <c r="H765" s="28"/>
    </row>
    <row r="766" spans="1:8" ht="14.25">
      <c r="A766" s="26"/>
      <c r="B766" s="26"/>
      <c r="C766" s="26"/>
      <c r="D766" s="26"/>
      <c r="E766" s="27"/>
      <c r="F766" s="27"/>
      <c r="G766" s="27"/>
      <c r="H766" s="28"/>
    </row>
    <row r="767" spans="1:8" ht="14.25">
      <c r="A767" s="26"/>
      <c r="B767" s="26"/>
      <c r="C767" s="26"/>
      <c r="D767" s="26"/>
      <c r="E767" s="27"/>
      <c r="F767" s="27"/>
      <c r="G767" s="27"/>
      <c r="H767" s="28"/>
    </row>
    <row r="768" spans="1:8" ht="14.25">
      <c r="A768" s="26"/>
      <c r="B768" s="26"/>
      <c r="C768" s="26"/>
      <c r="D768" s="26"/>
      <c r="E768" s="27"/>
      <c r="F768" s="27"/>
      <c r="G768" s="27"/>
      <c r="H768" s="28"/>
    </row>
    <row r="769" spans="1:8" ht="14.25">
      <c r="A769" s="26"/>
      <c r="B769" s="26"/>
      <c r="C769" s="26"/>
      <c r="D769" s="26"/>
      <c r="E769" s="27"/>
      <c r="F769" s="27"/>
      <c r="G769" s="27"/>
      <c r="H769" s="28"/>
    </row>
    <row r="770" spans="1:8" ht="14.25">
      <c r="A770" s="26"/>
      <c r="B770" s="26"/>
      <c r="C770" s="26"/>
      <c r="D770" s="26"/>
      <c r="E770" s="27"/>
      <c r="F770" s="27"/>
      <c r="G770" s="27"/>
      <c r="H770" s="28"/>
    </row>
    <row r="771" spans="1:8" ht="14.25">
      <c r="A771" s="26"/>
      <c r="B771" s="26"/>
      <c r="C771" s="26"/>
      <c r="D771" s="26"/>
      <c r="E771" s="27"/>
      <c r="F771" s="27"/>
      <c r="G771" s="27"/>
      <c r="H771" s="28"/>
    </row>
    <row r="772" spans="1:8" ht="14.25">
      <c r="A772" s="26"/>
      <c r="B772" s="26"/>
      <c r="C772" s="26"/>
      <c r="D772" s="26"/>
      <c r="E772" s="27"/>
      <c r="F772" s="27"/>
      <c r="G772" s="27"/>
      <c r="H772" s="28"/>
    </row>
    <row r="773" spans="1:8" ht="14.25">
      <c r="A773" s="26"/>
      <c r="B773" s="26"/>
      <c r="C773" s="26"/>
      <c r="D773" s="26"/>
      <c r="E773" s="27"/>
      <c r="F773" s="27"/>
      <c r="G773" s="27"/>
      <c r="H773" s="28"/>
    </row>
    <row r="774" spans="1:8" ht="14.25">
      <c r="A774" s="26"/>
      <c r="B774" s="26"/>
      <c r="C774" s="26"/>
      <c r="D774" s="26"/>
      <c r="E774" s="27"/>
      <c r="F774" s="27"/>
      <c r="G774" s="27"/>
      <c r="H774" s="28"/>
    </row>
    <row r="775" spans="1:8" ht="14.25">
      <c r="A775" s="26"/>
      <c r="B775" s="26"/>
      <c r="C775" s="26"/>
      <c r="D775" s="26"/>
      <c r="E775" s="27"/>
      <c r="F775" s="27"/>
      <c r="G775" s="27"/>
      <c r="H775" s="28"/>
    </row>
    <row r="776" spans="1:8" ht="14.25">
      <c r="A776" s="26"/>
      <c r="B776" s="26"/>
      <c r="C776" s="26"/>
      <c r="D776" s="26"/>
      <c r="E776" s="27"/>
      <c r="F776" s="27"/>
      <c r="G776" s="27"/>
      <c r="H776" s="28"/>
    </row>
    <row r="777" spans="1:8" ht="14.25">
      <c r="A777" s="26"/>
      <c r="B777" s="26"/>
      <c r="C777" s="26"/>
      <c r="D777" s="26"/>
      <c r="E777" s="27"/>
      <c r="F777" s="27"/>
      <c r="G777" s="27"/>
      <c r="H777" s="28"/>
    </row>
    <row r="778" spans="1:8" ht="14.25">
      <c r="A778" s="26"/>
      <c r="B778" s="26"/>
      <c r="C778" s="26"/>
      <c r="D778" s="26"/>
      <c r="E778" s="27"/>
      <c r="F778" s="27"/>
      <c r="G778" s="27"/>
      <c r="H778" s="28"/>
    </row>
    <row r="779" spans="1:8" ht="14.25">
      <c r="A779" s="26"/>
      <c r="B779" s="26"/>
      <c r="C779" s="26"/>
      <c r="D779" s="26"/>
      <c r="E779" s="27"/>
      <c r="F779" s="27"/>
      <c r="G779" s="27"/>
      <c r="H779" s="28"/>
    </row>
    <row r="780" spans="1:8" ht="14.25">
      <c r="A780" s="26"/>
      <c r="B780" s="26"/>
      <c r="C780" s="26"/>
      <c r="D780" s="26"/>
      <c r="E780" s="27"/>
      <c r="F780" s="27"/>
      <c r="G780" s="27"/>
      <c r="H780" s="28"/>
    </row>
    <row r="781" spans="1:8" ht="14.25">
      <c r="A781" s="26"/>
      <c r="B781" s="26"/>
      <c r="C781" s="26"/>
      <c r="D781" s="26"/>
      <c r="E781" s="27"/>
      <c r="F781" s="27"/>
      <c r="G781" s="27"/>
      <c r="H781" s="28"/>
    </row>
    <row r="782" spans="1:8" ht="14.25">
      <c r="A782" s="26"/>
      <c r="B782" s="26"/>
      <c r="C782" s="26"/>
      <c r="D782" s="26"/>
      <c r="E782" s="27"/>
      <c r="F782" s="27"/>
      <c r="G782" s="27"/>
      <c r="H782" s="28"/>
    </row>
    <row r="783" spans="1:8" ht="14.25">
      <c r="A783" s="26"/>
      <c r="B783" s="26"/>
      <c r="C783" s="26"/>
      <c r="D783" s="26"/>
      <c r="E783" s="27"/>
      <c r="F783" s="27"/>
      <c r="G783" s="27"/>
      <c r="H783" s="28"/>
    </row>
    <row r="784" spans="1:8" ht="14.25">
      <c r="A784" s="26"/>
      <c r="B784" s="26"/>
      <c r="C784" s="26"/>
      <c r="D784" s="26"/>
      <c r="E784" s="27"/>
      <c r="F784" s="27"/>
      <c r="G784" s="27"/>
      <c r="H784" s="28"/>
    </row>
    <row r="785" spans="1:8" ht="14.25">
      <c r="A785" s="26"/>
      <c r="B785" s="26"/>
      <c r="C785" s="26"/>
      <c r="D785" s="26"/>
      <c r="E785" s="27"/>
      <c r="F785" s="27"/>
      <c r="G785" s="27"/>
      <c r="H785" s="28"/>
    </row>
    <row r="786" spans="1:8" ht="14.25">
      <c r="A786" s="26"/>
      <c r="B786" s="26"/>
      <c r="C786" s="26"/>
      <c r="D786" s="26"/>
      <c r="E786" s="27"/>
      <c r="F786" s="27"/>
      <c r="G786" s="27"/>
      <c r="H786" s="28"/>
    </row>
    <row r="787" spans="1:8" ht="14.25">
      <c r="A787" s="26"/>
      <c r="B787" s="26"/>
      <c r="C787" s="26"/>
      <c r="D787" s="26"/>
      <c r="E787" s="27"/>
      <c r="F787" s="27"/>
      <c r="G787" s="27"/>
      <c r="H787" s="28"/>
    </row>
    <row r="788" spans="1:8" ht="14.25">
      <c r="A788" s="26"/>
      <c r="B788" s="26"/>
      <c r="C788" s="26"/>
      <c r="D788" s="26"/>
      <c r="E788" s="27"/>
      <c r="F788" s="27"/>
      <c r="G788" s="27"/>
      <c r="H788" s="28"/>
    </row>
    <row r="789" spans="1:8" ht="14.25">
      <c r="A789" s="26"/>
      <c r="B789" s="26"/>
      <c r="C789" s="26"/>
      <c r="D789" s="26"/>
      <c r="E789" s="27"/>
      <c r="F789" s="27"/>
      <c r="G789" s="27"/>
      <c r="H789" s="28"/>
    </row>
    <row r="790" spans="1:8" ht="14.25">
      <c r="A790" s="26"/>
      <c r="B790" s="26"/>
      <c r="C790" s="26"/>
      <c r="D790" s="26"/>
      <c r="E790" s="27"/>
      <c r="F790" s="27"/>
      <c r="G790" s="27"/>
      <c r="H790" s="28"/>
    </row>
    <row r="791" spans="1:8" ht="14.25">
      <c r="A791" s="26"/>
      <c r="B791" s="26"/>
      <c r="C791" s="26"/>
      <c r="D791" s="26"/>
      <c r="E791" s="27"/>
      <c r="F791" s="27"/>
      <c r="G791" s="27"/>
      <c r="H791" s="28"/>
    </row>
    <row r="792" spans="1:8" ht="14.25">
      <c r="A792" s="26"/>
      <c r="B792" s="26"/>
      <c r="C792" s="26"/>
      <c r="D792" s="26"/>
      <c r="E792" s="27"/>
      <c r="F792" s="27"/>
      <c r="G792" s="27"/>
      <c r="H792" s="28"/>
    </row>
    <row r="793" spans="1:8" ht="14.25">
      <c r="A793" s="26"/>
      <c r="B793" s="26"/>
      <c r="C793" s="26"/>
      <c r="D793" s="26"/>
      <c r="E793" s="27"/>
      <c r="F793" s="27"/>
      <c r="G793" s="27"/>
      <c r="H793" s="28"/>
    </row>
    <row r="794" spans="1:8" ht="14.25">
      <c r="A794" s="26"/>
      <c r="B794" s="26"/>
      <c r="C794" s="26"/>
      <c r="D794" s="26"/>
      <c r="E794" s="27"/>
      <c r="F794" s="27"/>
      <c r="G794" s="27"/>
      <c r="H794" s="28"/>
    </row>
    <row r="795" spans="1:8" ht="14.25">
      <c r="A795" s="26"/>
      <c r="B795" s="26"/>
      <c r="C795" s="26"/>
      <c r="D795" s="26"/>
      <c r="E795" s="27"/>
      <c r="F795" s="27"/>
      <c r="G795" s="27"/>
      <c r="H795" s="28"/>
    </row>
    <row r="796" spans="1:8" ht="14.25">
      <c r="A796" s="26"/>
      <c r="B796" s="26"/>
      <c r="C796" s="26"/>
      <c r="D796" s="26"/>
      <c r="E796" s="27"/>
      <c r="F796" s="27"/>
      <c r="G796" s="27"/>
      <c r="H796" s="28"/>
    </row>
    <row r="797" spans="1:8" ht="14.25">
      <c r="A797" s="26"/>
      <c r="B797" s="26"/>
      <c r="C797" s="26"/>
      <c r="D797" s="26"/>
      <c r="E797" s="27"/>
      <c r="F797" s="27"/>
      <c r="G797" s="27"/>
      <c r="H797" s="28"/>
    </row>
    <row r="798" spans="1:8" ht="14.25">
      <c r="A798" s="26"/>
      <c r="B798" s="26"/>
      <c r="C798" s="26"/>
      <c r="D798" s="26"/>
      <c r="E798" s="27"/>
      <c r="F798" s="27"/>
      <c r="G798" s="27"/>
      <c r="H798" s="28"/>
    </row>
    <row r="799" spans="1:8" ht="14.25">
      <c r="A799" s="26"/>
      <c r="B799" s="26"/>
      <c r="C799" s="26"/>
      <c r="D799" s="26"/>
      <c r="E799" s="27"/>
      <c r="F799" s="27"/>
      <c r="G799" s="27"/>
      <c r="H799" s="28"/>
    </row>
    <row r="800" spans="1:8" ht="14.25">
      <c r="A800" s="26"/>
      <c r="B800" s="26"/>
      <c r="C800" s="26"/>
      <c r="D800" s="26"/>
      <c r="E800" s="27"/>
      <c r="F800" s="27"/>
      <c r="G800" s="27"/>
      <c r="H800" s="28"/>
    </row>
    <row r="801" spans="1:8" ht="14.25">
      <c r="A801" s="26"/>
      <c r="B801" s="26"/>
      <c r="C801" s="26"/>
      <c r="D801" s="26"/>
      <c r="E801" s="27"/>
      <c r="F801" s="27"/>
      <c r="G801" s="27"/>
      <c r="H801" s="28"/>
    </row>
    <row r="802" spans="1:8" ht="14.25">
      <c r="A802" s="26"/>
      <c r="B802" s="26"/>
      <c r="C802" s="26"/>
      <c r="D802" s="26"/>
      <c r="E802" s="27"/>
      <c r="F802" s="27"/>
      <c r="G802" s="27"/>
      <c r="H802" s="28"/>
    </row>
    <row r="803" spans="1:8" ht="14.25">
      <c r="A803" s="26"/>
      <c r="B803" s="26"/>
      <c r="C803" s="26"/>
      <c r="D803" s="26"/>
      <c r="E803" s="27"/>
      <c r="F803" s="27"/>
      <c r="G803" s="27"/>
      <c r="H803" s="28"/>
    </row>
    <row r="804" spans="1:8" ht="14.25">
      <c r="A804" s="26"/>
      <c r="B804" s="26"/>
      <c r="C804" s="26"/>
      <c r="D804" s="26"/>
      <c r="E804" s="27"/>
      <c r="F804" s="27"/>
      <c r="G804" s="27"/>
      <c r="H804" s="28"/>
    </row>
    <row r="805" spans="1:8" ht="14.25">
      <c r="A805" s="26"/>
      <c r="B805" s="26"/>
      <c r="C805" s="26"/>
      <c r="D805" s="26"/>
      <c r="E805" s="27"/>
      <c r="F805" s="27"/>
      <c r="G805" s="27"/>
      <c r="H805" s="28"/>
    </row>
    <row r="806" spans="1:8" ht="14.25">
      <c r="A806" s="26"/>
      <c r="B806" s="26"/>
      <c r="C806" s="26"/>
      <c r="D806" s="26"/>
      <c r="E806" s="27"/>
      <c r="F806" s="27"/>
      <c r="G806" s="27"/>
      <c r="H806" s="28"/>
    </row>
    <row r="807" spans="1:8" ht="14.25">
      <c r="A807" s="26"/>
      <c r="B807" s="26"/>
      <c r="C807" s="26"/>
      <c r="D807" s="26"/>
      <c r="E807" s="27"/>
      <c r="F807" s="27"/>
      <c r="G807" s="27"/>
      <c r="H807" s="28"/>
    </row>
    <row r="808" spans="1:8" ht="14.25">
      <c r="A808" s="26"/>
      <c r="B808" s="26"/>
      <c r="C808" s="26"/>
      <c r="D808" s="26"/>
      <c r="E808" s="27"/>
      <c r="F808" s="27"/>
      <c r="G808" s="27"/>
      <c r="H808" s="28"/>
    </row>
    <row r="809" spans="1:8" ht="14.25">
      <c r="A809" s="26"/>
      <c r="B809" s="26"/>
      <c r="C809" s="26"/>
      <c r="D809" s="26"/>
      <c r="E809" s="27"/>
      <c r="F809" s="27"/>
      <c r="G809" s="27"/>
      <c r="H809" s="28"/>
    </row>
    <row r="810" spans="1:8" ht="14.25">
      <c r="A810" s="26"/>
      <c r="B810" s="26"/>
      <c r="C810" s="26"/>
      <c r="D810" s="26"/>
      <c r="E810" s="27"/>
      <c r="F810" s="27"/>
      <c r="G810" s="27"/>
      <c r="H810" s="28"/>
    </row>
    <row r="811" spans="1:8" ht="14.25">
      <c r="A811" s="26"/>
      <c r="B811" s="26"/>
      <c r="C811" s="26"/>
      <c r="D811" s="26"/>
      <c r="E811" s="27"/>
      <c r="F811" s="27"/>
      <c r="G811" s="27"/>
      <c r="H811" s="28"/>
    </row>
    <row r="812" spans="1:8" ht="14.25">
      <c r="A812" s="26"/>
      <c r="B812" s="26"/>
      <c r="C812" s="26"/>
      <c r="D812" s="26"/>
      <c r="E812" s="27"/>
      <c r="F812" s="27"/>
      <c r="G812" s="27"/>
      <c r="H812" s="28"/>
    </row>
    <row r="813" spans="1:8" ht="14.25">
      <c r="A813" s="26"/>
      <c r="B813" s="26"/>
      <c r="C813" s="26"/>
      <c r="D813" s="26"/>
      <c r="E813" s="27"/>
      <c r="F813" s="27"/>
      <c r="G813" s="27"/>
      <c r="H813" s="28"/>
    </row>
    <row r="814" spans="1:8" ht="14.25">
      <c r="A814" s="26"/>
      <c r="B814" s="26"/>
      <c r="C814" s="26"/>
      <c r="D814" s="26"/>
      <c r="E814" s="27"/>
      <c r="F814" s="27"/>
      <c r="G814" s="27"/>
      <c r="H814" s="28"/>
    </row>
    <row r="815" spans="1:8" ht="14.25">
      <c r="A815" s="26"/>
      <c r="B815" s="26"/>
      <c r="C815" s="26"/>
      <c r="D815" s="26"/>
      <c r="E815" s="27"/>
      <c r="F815" s="27"/>
      <c r="G815" s="27"/>
      <c r="H815" s="28"/>
    </row>
    <row r="816" spans="1:8" ht="14.25">
      <c r="A816" s="26"/>
      <c r="B816" s="26"/>
      <c r="C816" s="26"/>
      <c r="D816" s="26"/>
      <c r="E816" s="27"/>
      <c r="F816" s="27"/>
      <c r="G816" s="27"/>
      <c r="H816" s="28"/>
    </row>
    <row r="817" spans="1:8" ht="14.25">
      <c r="A817" s="26"/>
      <c r="B817" s="26"/>
      <c r="C817" s="26"/>
      <c r="D817" s="26"/>
      <c r="E817" s="27"/>
      <c r="F817" s="27"/>
      <c r="G817" s="27"/>
      <c r="H817" s="28"/>
    </row>
    <row r="818" spans="1:8" ht="14.25">
      <c r="A818" s="26"/>
      <c r="B818" s="26"/>
      <c r="C818" s="26"/>
      <c r="D818" s="26"/>
      <c r="E818" s="27"/>
      <c r="F818" s="27"/>
      <c r="G818" s="27"/>
      <c r="H818" s="28"/>
    </row>
    <row r="819" spans="1:8" ht="14.25">
      <c r="A819" s="26"/>
      <c r="B819" s="26"/>
      <c r="C819" s="26"/>
      <c r="D819" s="26"/>
      <c r="E819" s="27"/>
      <c r="F819" s="27"/>
      <c r="G819" s="27"/>
      <c r="H819" s="28"/>
    </row>
    <row r="820" spans="1:8" ht="14.25">
      <c r="A820" s="26"/>
      <c r="B820" s="26"/>
      <c r="C820" s="26"/>
      <c r="D820" s="26"/>
      <c r="E820" s="27"/>
      <c r="F820" s="27"/>
      <c r="G820" s="27"/>
      <c r="H820" s="28"/>
    </row>
    <row r="821" spans="1:8" ht="14.25">
      <c r="A821" s="26"/>
      <c r="B821" s="26"/>
      <c r="C821" s="26"/>
      <c r="D821" s="26"/>
      <c r="E821" s="27"/>
      <c r="F821" s="27"/>
      <c r="G821" s="27"/>
      <c r="H821" s="28"/>
    </row>
    <row r="822" spans="1:8" ht="14.25">
      <c r="A822" s="26"/>
      <c r="B822" s="26"/>
      <c r="C822" s="26"/>
      <c r="D822" s="26"/>
      <c r="E822" s="27"/>
      <c r="F822" s="27"/>
      <c r="G822" s="27"/>
      <c r="H822" s="28"/>
    </row>
    <row r="823" spans="1:8" ht="14.25">
      <c r="A823" s="26"/>
      <c r="B823" s="26"/>
      <c r="C823" s="26"/>
      <c r="D823" s="26"/>
      <c r="E823" s="27"/>
      <c r="F823" s="27"/>
      <c r="G823" s="27"/>
      <c r="H823" s="28"/>
    </row>
    <row r="824" spans="1:8" ht="14.25">
      <c r="A824" s="26"/>
      <c r="B824" s="26"/>
      <c r="C824" s="26"/>
      <c r="D824" s="26"/>
      <c r="E824" s="27"/>
      <c r="F824" s="27"/>
      <c r="G824" s="27"/>
      <c r="H824" s="28"/>
    </row>
    <row r="825" spans="1:8" ht="14.25">
      <c r="A825" s="26"/>
      <c r="B825" s="26"/>
      <c r="C825" s="26"/>
      <c r="D825" s="26"/>
      <c r="E825" s="27"/>
      <c r="F825" s="27"/>
      <c r="G825" s="27"/>
      <c r="H825" s="28"/>
    </row>
    <row r="826" spans="1:8" ht="14.25">
      <c r="A826" s="26"/>
      <c r="B826" s="26"/>
      <c r="C826" s="26"/>
      <c r="D826" s="26"/>
      <c r="E826" s="27"/>
      <c r="F826" s="27"/>
      <c r="G826" s="27"/>
      <c r="H826" s="28"/>
    </row>
    <row r="827" spans="1:8" ht="14.25">
      <c r="A827" s="26"/>
      <c r="B827" s="26"/>
      <c r="C827" s="26"/>
      <c r="D827" s="26"/>
      <c r="E827" s="27"/>
      <c r="F827" s="27"/>
      <c r="G827" s="27"/>
      <c r="H827" s="28"/>
    </row>
    <row r="828" spans="1:8" ht="14.25">
      <c r="A828" s="26"/>
      <c r="B828" s="26"/>
      <c r="C828" s="26"/>
      <c r="D828" s="26"/>
      <c r="E828" s="27"/>
      <c r="F828" s="27"/>
      <c r="G828" s="27"/>
      <c r="H828" s="28"/>
    </row>
    <row r="829" spans="1:8" ht="14.25">
      <c r="A829" s="26"/>
      <c r="B829" s="26"/>
      <c r="C829" s="26"/>
      <c r="D829" s="26"/>
      <c r="E829" s="27"/>
      <c r="F829" s="27"/>
      <c r="G829" s="27"/>
      <c r="H829" s="28"/>
    </row>
    <row r="830" spans="1:8" ht="14.25">
      <c r="A830" s="26"/>
      <c r="B830" s="26"/>
      <c r="C830" s="26"/>
      <c r="D830" s="26"/>
      <c r="E830" s="27"/>
      <c r="F830" s="27"/>
      <c r="G830" s="27"/>
      <c r="H830" s="28"/>
    </row>
    <row r="831" spans="1:8" ht="14.25">
      <c r="A831" s="26"/>
      <c r="B831" s="26"/>
      <c r="C831" s="26"/>
      <c r="D831" s="26"/>
      <c r="E831" s="27"/>
      <c r="F831" s="27"/>
      <c r="G831" s="27"/>
      <c r="H831" s="28"/>
    </row>
    <row r="832" spans="1:8" ht="14.25">
      <c r="A832" s="26"/>
      <c r="B832" s="26"/>
      <c r="C832" s="26"/>
      <c r="D832" s="26"/>
      <c r="E832" s="27"/>
      <c r="F832" s="27"/>
      <c r="G832" s="27"/>
      <c r="H832" s="28"/>
    </row>
    <row r="833" spans="1:8" ht="14.25">
      <c r="A833" s="26"/>
      <c r="B833" s="26"/>
      <c r="C833" s="26"/>
      <c r="D833" s="26"/>
      <c r="E833" s="27"/>
      <c r="F833" s="27"/>
      <c r="G833" s="27"/>
      <c r="H833" s="28"/>
    </row>
    <row r="834" spans="1:8" ht="14.25">
      <c r="A834" s="26"/>
      <c r="B834" s="26"/>
      <c r="C834" s="26"/>
      <c r="D834" s="26"/>
      <c r="E834" s="27"/>
      <c r="F834" s="27"/>
      <c r="G834" s="27"/>
      <c r="H834" s="28"/>
    </row>
    <row r="835" spans="1:8" ht="14.25">
      <c r="A835" s="26"/>
      <c r="B835" s="26"/>
      <c r="C835" s="26"/>
      <c r="D835" s="26"/>
      <c r="E835" s="27"/>
      <c r="F835" s="27"/>
      <c r="G835" s="27"/>
      <c r="H835" s="28"/>
    </row>
    <row r="836" spans="1:8" ht="14.25">
      <c r="A836" s="26"/>
      <c r="B836" s="26"/>
      <c r="C836" s="26"/>
      <c r="D836" s="26"/>
      <c r="E836" s="27"/>
      <c r="F836" s="27"/>
      <c r="G836" s="27"/>
      <c r="H836" s="28"/>
    </row>
    <row r="837" spans="1:8" ht="14.25">
      <c r="A837" s="26"/>
      <c r="B837" s="26"/>
      <c r="C837" s="26"/>
      <c r="D837" s="26"/>
      <c r="E837" s="27"/>
      <c r="F837" s="27"/>
      <c r="G837" s="27"/>
      <c r="H837" s="28"/>
    </row>
    <row r="838" spans="1:8" ht="14.25">
      <c r="A838" s="26"/>
      <c r="B838" s="26"/>
      <c r="C838" s="26"/>
      <c r="D838" s="26"/>
      <c r="E838" s="27"/>
      <c r="F838" s="27"/>
      <c r="G838" s="27"/>
      <c r="H838" s="28"/>
    </row>
    <row r="839" spans="1:8" ht="14.25">
      <c r="A839" s="26"/>
      <c r="B839" s="26"/>
      <c r="C839" s="26"/>
      <c r="D839" s="26"/>
      <c r="E839" s="27"/>
      <c r="F839" s="27"/>
      <c r="G839" s="27"/>
      <c r="H839" s="28"/>
    </row>
    <row r="840" spans="1:8" ht="14.25">
      <c r="A840" s="26"/>
      <c r="B840" s="26"/>
      <c r="C840" s="26"/>
      <c r="D840" s="26"/>
      <c r="E840" s="27"/>
      <c r="F840" s="27"/>
      <c r="G840" s="27"/>
      <c r="H840" s="28"/>
    </row>
    <row r="841" spans="1:8" ht="14.25">
      <c r="A841" s="26"/>
      <c r="B841" s="26"/>
      <c r="C841" s="26"/>
      <c r="D841" s="26"/>
      <c r="E841" s="27"/>
      <c r="F841" s="27"/>
      <c r="G841" s="27"/>
      <c r="H841" s="28"/>
    </row>
    <row r="842" spans="1:8" ht="14.25">
      <c r="A842" s="26"/>
      <c r="B842" s="26"/>
      <c r="C842" s="26"/>
      <c r="D842" s="26"/>
      <c r="E842" s="27"/>
      <c r="F842" s="27"/>
      <c r="G842" s="27"/>
      <c r="H842" s="28"/>
    </row>
    <row r="843" spans="1:8" ht="14.25">
      <c r="A843" s="26"/>
      <c r="B843" s="26"/>
      <c r="C843" s="26"/>
      <c r="D843" s="26"/>
      <c r="E843" s="27"/>
      <c r="F843" s="27"/>
      <c r="G843" s="27"/>
      <c r="H843" s="28"/>
    </row>
    <row r="844" spans="1:8" ht="14.25">
      <c r="A844" s="26"/>
      <c r="B844" s="26"/>
      <c r="C844" s="26"/>
      <c r="D844" s="26"/>
      <c r="E844" s="27"/>
      <c r="F844" s="27"/>
      <c r="G844" s="27"/>
      <c r="H844" s="28"/>
    </row>
    <row r="845" spans="1:8" ht="14.25">
      <c r="A845" s="26"/>
      <c r="B845" s="26"/>
      <c r="C845" s="26"/>
      <c r="D845" s="26"/>
      <c r="E845" s="27"/>
      <c r="F845" s="27"/>
      <c r="G845" s="27"/>
      <c r="H845" s="28"/>
    </row>
    <row r="846" spans="1:8" ht="14.25">
      <c r="A846" s="26"/>
      <c r="B846" s="26"/>
      <c r="C846" s="26"/>
      <c r="D846" s="26"/>
      <c r="E846" s="27"/>
      <c r="F846" s="27"/>
      <c r="G846" s="27"/>
      <c r="H846" s="28"/>
    </row>
    <row r="847" spans="1:8" ht="14.25">
      <c r="A847" s="26"/>
      <c r="B847" s="26"/>
      <c r="C847" s="26"/>
      <c r="D847" s="26"/>
      <c r="E847" s="27"/>
      <c r="F847" s="27"/>
      <c r="G847" s="27"/>
      <c r="H847" s="28"/>
    </row>
    <row r="848" spans="1:8" ht="14.25">
      <c r="A848" s="26"/>
      <c r="B848" s="26"/>
      <c r="C848" s="26"/>
      <c r="D848" s="26"/>
      <c r="E848" s="27"/>
      <c r="F848" s="27"/>
      <c r="G848" s="27"/>
      <c r="H848" s="28"/>
    </row>
    <row r="849" spans="1:8" ht="14.25">
      <c r="A849" s="26"/>
      <c r="B849" s="26"/>
      <c r="C849" s="26"/>
      <c r="D849" s="26"/>
      <c r="E849" s="27"/>
      <c r="F849" s="27"/>
      <c r="G849" s="27"/>
      <c r="H849" s="28"/>
    </row>
    <row r="850" spans="1:8" ht="14.25">
      <c r="A850" s="26"/>
      <c r="B850" s="26"/>
      <c r="C850" s="26"/>
      <c r="D850" s="26"/>
      <c r="E850" s="27"/>
      <c r="F850" s="27"/>
      <c r="G850" s="27"/>
      <c r="H850" s="28"/>
    </row>
    <row r="851" spans="1:8" ht="14.25">
      <c r="A851" s="26"/>
      <c r="B851" s="26"/>
      <c r="C851" s="26"/>
      <c r="D851" s="26"/>
      <c r="E851" s="27"/>
      <c r="F851" s="27"/>
      <c r="G851" s="27"/>
      <c r="H851" s="28"/>
    </row>
    <row r="852" spans="1:8" ht="14.25">
      <c r="A852" s="26"/>
      <c r="B852" s="26"/>
      <c r="C852" s="26"/>
      <c r="D852" s="26"/>
      <c r="E852" s="27"/>
      <c r="F852" s="27"/>
      <c r="G852" s="27"/>
      <c r="H852" s="28"/>
    </row>
    <row r="853" spans="1:8" ht="14.25">
      <c r="A853" s="26"/>
      <c r="B853" s="26"/>
      <c r="C853" s="26"/>
      <c r="D853" s="26"/>
      <c r="E853" s="27"/>
      <c r="F853" s="27"/>
      <c r="G853" s="27"/>
      <c r="H853" s="28"/>
    </row>
    <row r="854" spans="1:8" ht="14.25">
      <c r="A854" s="26"/>
      <c r="B854" s="26"/>
      <c r="C854" s="26"/>
      <c r="D854" s="26"/>
      <c r="E854" s="27"/>
      <c r="F854" s="27"/>
      <c r="G854" s="27"/>
      <c r="H854" s="28"/>
    </row>
    <row r="855" spans="1:8" ht="14.25">
      <c r="A855" s="26"/>
      <c r="B855" s="26"/>
      <c r="C855" s="26"/>
      <c r="D855" s="26"/>
      <c r="E855" s="27"/>
      <c r="F855" s="27"/>
      <c r="G855" s="27"/>
      <c r="H855" s="28"/>
    </row>
    <row r="856" spans="1:8" ht="14.25">
      <c r="A856" s="26"/>
      <c r="B856" s="26"/>
      <c r="C856" s="26"/>
      <c r="D856" s="26"/>
      <c r="E856" s="27"/>
      <c r="F856" s="27"/>
      <c r="G856" s="27"/>
      <c r="H856" s="28"/>
    </row>
    <row r="857" spans="1:8" ht="14.25">
      <c r="A857" s="26"/>
      <c r="B857" s="26"/>
      <c r="C857" s="26"/>
      <c r="D857" s="26"/>
      <c r="E857" s="27"/>
      <c r="F857" s="27"/>
      <c r="G857" s="27"/>
      <c r="H857" s="28"/>
    </row>
    <row r="858" spans="1:8" ht="14.25">
      <c r="A858" s="26"/>
      <c r="B858" s="26"/>
      <c r="C858" s="26"/>
      <c r="D858" s="26"/>
      <c r="E858" s="27"/>
      <c r="F858" s="27"/>
      <c r="G858" s="27"/>
      <c r="H858" s="28"/>
    </row>
    <row r="859" spans="1:8" ht="14.25">
      <c r="A859" s="26"/>
      <c r="B859" s="26"/>
      <c r="C859" s="26"/>
      <c r="D859" s="26"/>
      <c r="E859" s="27"/>
      <c r="F859" s="27"/>
      <c r="G859" s="27"/>
      <c r="H859" s="28"/>
    </row>
    <row r="860" spans="1:8" ht="14.25">
      <c r="A860" s="26"/>
      <c r="B860" s="26"/>
      <c r="C860" s="26"/>
      <c r="D860" s="26"/>
      <c r="E860" s="27"/>
      <c r="F860" s="27"/>
      <c r="G860" s="27"/>
      <c r="H860" s="28"/>
    </row>
    <row r="861" spans="1:8" ht="14.25">
      <c r="A861" s="26"/>
      <c r="B861" s="26"/>
      <c r="C861" s="26"/>
      <c r="D861" s="26"/>
      <c r="E861" s="27"/>
      <c r="F861" s="27"/>
      <c r="G861" s="27"/>
      <c r="H861" s="28"/>
    </row>
    <row r="862" spans="1:8" ht="14.25">
      <c r="A862" s="26"/>
      <c r="B862" s="26"/>
      <c r="C862" s="26"/>
      <c r="D862" s="26"/>
      <c r="E862" s="27"/>
      <c r="F862" s="27"/>
      <c r="G862" s="27"/>
      <c r="H862" s="28"/>
    </row>
    <row r="863" spans="1:8" ht="14.25">
      <c r="A863" s="26"/>
      <c r="B863" s="26"/>
      <c r="C863" s="26"/>
      <c r="D863" s="26"/>
      <c r="E863" s="27"/>
      <c r="F863" s="27"/>
      <c r="G863" s="27"/>
      <c r="H863" s="28"/>
    </row>
    <row r="864" spans="1:8" ht="14.25">
      <c r="A864" s="26"/>
      <c r="B864" s="26"/>
      <c r="C864" s="26"/>
      <c r="D864" s="26"/>
      <c r="E864" s="27"/>
      <c r="F864" s="27"/>
      <c r="G864" s="27"/>
      <c r="H864" s="28"/>
    </row>
    <row r="865" spans="1:8" ht="14.25">
      <c r="A865" s="26"/>
      <c r="B865" s="26"/>
      <c r="C865" s="26"/>
      <c r="D865" s="26"/>
      <c r="E865" s="27"/>
      <c r="F865" s="27"/>
      <c r="G865" s="27"/>
      <c r="H865" s="28"/>
    </row>
    <row r="866" spans="1:8" ht="14.25">
      <c r="A866" s="26"/>
      <c r="B866" s="26"/>
      <c r="C866" s="26"/>
      <c r="D866" s="26"/>
      <c r="E866" s="27"/>
      <c r="F866" s="27"/>
      <c r="G866" s="27"/>
      <c r="H866" s="28"/>
    </row>
    <row r="867" spans="1:8" ht="14.25">
      <c r="A867" s="26"/>
      <c r="B867" s="26"/>
      <c r="C867" s="26"/>
      <c r="D867" s="26"/>
      <c r="E867" s="27"/>
      <c r="F867" s="27"/>
      <c r="G867" s="27"/>
      <c r="H867" s="28"/>
    </row>
    <row r="868" spans="1:8" ht="14.25">
      <c r="A868" s="26"/>
      <c r="B868" s="26"/>
      <c r="C868" s="26"/>
      <c r="D868" s="26"/>
      <c r="E868" s="27"/>
      <c r="F868" s="27"/>
      <c r="G868" s="27"/>
      <c r="H868" s="28"/>
    </row>
    <row r="869" spans="1:8" ht="14.25">
      <c r="A869" s="26"/>
      <c r="B869" s="26"/>
      <c r="C869" s="26"/>
      <c r="D869" s="26"/>
      <c r="E869" s="27"/>
      <c r="F869" s="27"/>
      <c r="G869" s="27"/>
      <c r="H869" s="28"/>
    </row>
    <row r="870" spans="1:8" ht="14.25">
      <c r="A870" s="26"/>
      <c r="B870" s="26"/>
      <c r="C870" s="26"/>
      <c r="D870" s="26"/>
      <c r="E870" s="27"/>
      <c r="F870" s="27"/>
      <c r="G870" s="27"/>
      <c r="H870" s="28"/>
    </row>
    <row r="871" spans="1:8" ht="14.25">
      <c r="A871" s="26"/>
      <c r="B871" s="26"/>
      <c r="C871" s="26"/>
      <c r="D871" s="26"/>
      <c r="E871" s="27"/>
      <c r="F871" s="27"/>
      <c r="G871" s="27"/>
      <c r="H871" s="28"/>
    </row>
    <row r="872" spans="1:8" ht="14.25">
      <c r="A872" s="26"/>
      <c r="B872" s="26"/>
      <c r="C872" s="26"/>
      <c r="D872" s="26"/>
      <c r="E872" s="27"/>
      <c r="F872" s="27"/>
      <c r="G872" s="27"/>
      <c r="H872" s="28"/>
    </row>
    <row r="873" spans="1:8" ht="14.25">
      <c r="A873" s="26"/>
      <c r="B873" s="26"/>
      <c r="C873" s="26"/>
      <c r="D873" s="26"/>
      <c r="E873" s="27"/>
      <c r="F873" s="27"/>
      <c r="G873" s="27"/>
      <c r="H873" s="28"/>
    </row>
    <row r="874" spans="1:8" ht="14.25">
      <c r="A874" s="26"/>
      <c r="B874" s="26"/>
      <c r="C874" s="26"/>
      <c r="D874" s="26"/>
      <c r="E874" s="27"/>
      <c r="F874" s="27"/>
      <c r="G874" s="27"/>
      <c r="H874" s="28"/>
    </row>
    <row r="875" spans="1:8" ht="14.25">
      <c r="A875" s="26"/>
      <c r="B875" s="26"/>
      <c r="C875" s="26"/>
      <c r="D875" s="26"/>
      <c r="E875" s="27"/>
      <c r="F875" s="27"/>
      <c r="G875" s="27"/>
      <c r="H875" s="28"/>
    </row>
    <row r="876" spans="1:8" ht="14.25">
      <c r="A876" s="26"/>
      <c r="B876" s="26"/>
      <c r="C876" s="26"/>
      <c r="D876" s="26"/>
      <c r="E876" s="27"/>
      <c r="F876" s="27"/>
      <c r="G876" s="27"/>
      <c r="H876" s="28"/>
    </row>
    <row r="877" spans="1:8" ht="14.25">
      <c r="A877" s="26"/>
      <c r="B877" s="26"/>
      <c r="C877" s="26"/>
      <c r="D877" s="26"/>
      <c r="E877" s="27"/>
      <c r="F877" s="27"/>
      <c r="G877" s="27"/>
      <c r="H877" s="28"/>
    </row>
    <row r="878" spans="1:8" ht="14.25">
      <c r="A878" s="26"/>
      <c r="B878" s="26"/>
      <c r="C878" s="26"/>
      <c r="D878" s="26"/>
      <c r="E878" s="27"/>
      <c r="F878" s="27"/>
      <c r="G878" s="27"/>
      <c r="H878" s="28"/>
    </row>
    <row r="879" spans="1:8" ht="14.25">
      <c r="A879" s="26"/>
      <c r="B879" s="26"/>
      <c r="C879" s="26"/>
      <c r="D879" s="26"/>
      <c r="E879" s="27"/>
      <c r="F879" s="27"/>
      <c r="G879" s="27"/>
      <c r="H879" s="28"/>
    </row>
    <row r="880" spans="1:8" ht="14.25">
      <c r="A880" s="26"/>
      <c r="B880" s="26"/>
      <c r="C880" s="26"/>
      <c r="D880" s="26"/>
      <c r="E880" s="27"/>
      <c r="F880" s="27"/>
      <c r="G880" s="27"/>
      <c r="H880" s="28"/>
    </row>
    <row r="881" spans="1:8" ht="14.25">
      <c r="A881" s="26"/>
      <c r="B881" s="26"/>
      <c r="C881" s="26"/>
      <c r="D881" s="26"/>
      <c r="E881" s="27"/>
      <c r="F881" s="27"/>
      <c r="G881" s="27"/>
      <c r="H881" s="28"/>
    </row>
    <row r="882" spans="1:8" ht="14.25">
      <c r="A882" s="26"/>
      <c r="B882" s="26"/>
      <c r="C882" s="26"/>
      <c r="D882" s="26"/>
      <c r="E882" s="27"/>
      <c r="F882" s="27"/>
      <c r="G882" s="27"/>
      <c r="H882" s="28"/>
    </row>
    <row r="883" spans="1:8" ht="14.25">
      <c r="A883" s="26"/>
      <c r="B883" s="26"/>
      <c r="C883" s="26"/>
      <c r="D883" s="26"/>
      <c r="E883" s="27"/>
      <c r="F883" s="27"/>
      <c r="G883" s="27"/>
      <c r="H883" s="28"/>
    </row>
    <row r="884" spans="1:8" ht="14.25">
      <c r="A884" s="26"/>
      <c r="B884" s="26"/>
      <c r="C884" s="26"/>
      <c r="D884" s="26"/>
      <c r="E884" s="27"/>
      <c r="F884" s="27"/>
      <c r="G884" s="27"/>
      <c r="H884" s="28"/>
    </row>
    <row r="885" spans="1:8" ht="14.25">
      <c r="A885" s="26"/>
      <c r="B885" s="26"/>
      <c r="C885" s="26"/>
      <c r="D885" s="26"/>
      <c r="E885" s="27"/>
      <c r="F885" s="27"/>
      <c r="G885" s="27"/>
      <c r="H885" s="28"/>
    </row>
    <row r="886" spans="1:8" ht="14.25">
      <c r="A886" s="26"/>
      <c r="B886" s="26"/>
      <c r="C886" s="26"/>
      <c r="D886" s="26"/>
      <c r="E886" s="27"/>
      <c r="F886" s="27"/>
      <c r="G886" s="27"/>
      <c r="H886" s="28"/>
    </row>
    <row r="887" spans="1:8" ht="14.25">
      <c r="A887" s="26"/>
      <c r="B887" s="26"/>
      <c r="C887" s="26"/>
      <c r="D887" s="26"/>
      <c r="E887" s="27"/>
      <c r="F887" s="27"/>
      <c r="G887" s="27"/>
      <c r="H887" s="28"/>
    </row>
    <row r="888" spans="1:8" ht="14.25">
      <c r="A888" s="26"/>
      <c r="B888" s="26"/>
      <c r="C888" s="26"/>
      <c r="D888" s="26"/>
      <c r="E888" s="27"/>
      <c r="F888" s="27"/>
      <c r="G888" s="27"/>
      <c r="H888" s="28"/>
    </row>
    <row r="889" spans="1:8" ht="14.25">
      <c r="A889" s="26"/>
      <c r="B889" s="26"/>
      <c r="C889" s="26"/>
      <c r="D889" s="26"/>
      <c r="E889" s="27"/>
      <c r="F889" s="27"/>
      <c r="G889" s="27"/>
      <c r="H889" s="28"/>
    </row>
    <row r="890" spans="1:8" ht="14.25">
      <c r="A890" s="26"/>
      <c r="B890" s="26"/>
      <c r="C890" s="26"/>
      <c r="D890" s="26"/>
      <c r="E890" s="27"/>
      <c r="F890" s="27"/>
      <c r="G890" s="27"/>
      <c r="H890" s="28"/>
    </row>
    <row r="891" spans="1:8" ht="14.25">
      <c r="A891" s="26"/>
      <c r="B891" s="26"/>
      <c r="C891" s="26"/>
      <c r="D891" s="26"/>
      <c r="E891" s="27"/>
      <c r="F891" s="27"/>
      <c r="G891" s="27"/>
      <c r="H891" s="28"/>
    </row>
    <row r="892" spans="1:8" ht="14.25">
      <c r="A892" s="26"/>
      <c r="B892" s="26"/>
      <c r="C892" s="26"/>
      <c r="D892" s="26"/>
      <c r="E892" s="27"/>
      <c r="F892" s="27"/>
      <c r="G892" s="27"/>
      <c r="H892" s="28"/>
    </row>
    <row r="893" spans="1:8" ht="14.25">
      <c r="A893" s="26"/>
      <c r="B893" s="26"/>
      <c r="C893" s="26"/>
      <c r="D893" s="26"/>
      <c r="E893" s="27"/>
      <c r="F893" s="27"/>
      <c r="G893" s="27"/>
      <c r="H893" s="28"/>
    </row>
    <row r="894" spans="1:8" ht="14.25">
      <c r="A894" s="26"/>
      <c r="B894" s="26"/>
      <c r="C894" s="26"/>
      <c r="D894" s="26"/>
      <c r="E894" s="27"/>
      <c r="F894" s="27"/>
      <c r="G894" s="27"/>
      <c r="H894" s="28"/>
    </row>
    <row r="895" spans="1:8" ht="14.25">
      <c r="A895" s="26"/>
      <c r="B895" s="26"/>
      <c r="C895" s="26"/>
      <c r="D895" s="26"/>
      <c r="E895" s="27"/>
      <c r="F895" s="27"/>
      <c r="G895" s="27"/>
      <c r="H895" s="28"/>
    </row>
    <row r="896" spans="1:8" ht="14.25">
      <c r="A896" s="26"/>
      <c r="B896" s="26"/>
      <c r="C896" s="26"/>
      <c r="D896" s="26"/>
      <c r="E896" s="27"/>
      <c r="F896" s="27"/>
      <c r="G896" s="27"/>
      <c r="H896" s="28"/>
    </row>
    <row r="897" spans="1:8" ht="14.25">
      <c r="A897" s="26"/>
      <c r="B897" s="26"/>
      <c r="C897" s="26"/>
      <c r="D897" s="26"/>
      <c r="E897" s="27"/>
      <c r="F897" s="27"/>
      <c r="G897" s="27"/>
      <c r="H897" s="28"/>
    </row>
    <row r="898" spans="1:8" ht="14.25">
      <c r="A898" s="26"/>
      <c r="B898" s="26"/>
      <c r="C898" s="26"/>
      <c r="D898" s="26"/>
      <c r="E898" s="27"/>
      <c r="F898" s="27"/>
      <c r="G898" s="27"/>
      <c r="H898" s="28"/>
    </row>
    <row r="899" spans="1:8" ht="14.25">
      <c r="A899" s="26"/>
      <c r="B899" s="26"/>
      <c r="C899" s="26"/>
      <c r="D899" s="26"/>
      <c r="E899" s="27"/>
      <c r="F899" s="27"/>
      <c r="G899" s="27"/>
      <c r="H899" s="28"/>
    </row>
    <row r="900" spans="1:8" ht="14.25">
      <c r="A900" s="26"/>
      <c r="B900" s="26"/>
      <c r="C900" s="26"/>
      <c r="D900" s="26"/>
      <c r="E900" s="27"/>
      <c r="F900" s="27"/>
      <c r="G900" s="27"/>
      <c r="H900" s="28"/>
    </row>
    <row r="901" spans="1:8" ht="14.25">
      <c r="A901" s="26"/>
      <c r="B901" s="26"/>
      <c r="C901" s="26"/>
      <c r="D901" s="26"/>
      <c r="E901" s="27"/>
      <c r="F901" s="27"/>
      <c r="G901" s="27"/>
      <c r="H901" s="28"/>
    </row>
    <row r="902" spans="1:8" ht="14.25">
      <c r="A902" s="26"/>
      <c r="B902" s="26"/>
      <c r="C902" s="26"/>
      <c r="D902" s="26"/>
      <c r="E902" s="27"/>
      <c r="F902" s="27"/>
      <c r="G902" s="27"/>
      <c r="H902" s="28"/>
    </row>
    <row r="903" spans="1:8" ht="14.25">
      <c r="A903" s="26"/>
      <c r="B903" s="26"/>
      <c r="C903" s="26"/>
      <c r="D903" s="26"/>
      <c r="E903" s="27"/>
      <c r="F903" s="27"/>
      <c r="G903" s="27"/>
      <c r="H903" s="28"/>
    </row>
    <row r="904" spans="1:8" ht="14.25">
      <c r="A904" s="26"/>
      <c r="B904" s="26"/>
      <c r="C904" s="26"/>
      <c r="D904" s="26"/>
      <c r="E904" s="27"/>
      <c r="F904" s="27"/>
      <c r="G904" s="27"/>
      <c r="H904" s="28"/>
    </row>
    <row r="905" spans="1:8" ht="14.25">
      <c r="A905" s="26"/>
      <c r="B905" s="26"/>
      <c r="C905" s="26"/>
      <c r="D905" s="26"/>
      <c r="E905" s="27"/>
      <c r="F905" s="27"/>
      <c r="G905" s="27"/>
      <c r="H905" s="28"/>
    </row>
    <row r="906" spans="1:8" ht="14.25">
      <c r="A906" s="26"/>
      <c r="B906" s="26"/>
      <c r="C906" s="26"/>
      <c r="D906" s="26"/>
      <c r="E906" s="27"/>
      <c r="F906" s="27"/>
      <c r="G906" s="27"/>
      <c r="H906" s="28"/>
    </row>
    <row r="907" spans="1:8" ht="14.25">
      <c r="A907" s="26"/>
      <c r="B907" s="26"/>
      <c r="C907" s="26"/>
      <c r="D907" s="26"/>
      <c r="E907" s="27"/>
      <c r="F907" s="27"/>
      <c r="G907" s="27"/>
      <c r="H907" s="28"/>
    </row>
    <row r="908" spans="1:8" ht="14.25">
      <c r="A908" s="26"/>
      <c r="B908" s="26"/>
      <c r="C908" s="26"/>
      <c r="D908" s="26"/>
      <c r="E908" s="27"/>
      <c r="F908" s="27"/>
      <c r="G908" s="27"/>
      <c r="H908" s="28"/>
    </row>
    <row r="909" spans="1:8" ht="14.25">
      <c r="A909" s="26"/>
      <c r="B909" s="26"/>
      <c r="C909" s="26"/>
      <c r="D909" s="26"/>
      <c r="E909" s="27"/>
      <c r="F909" s="27"/>
      <c r="G909" s="27"/>
      <c r="H909" s="28"/>
    </row>
    <row r="910" spans="1:8" ht="14.25">
      <c r="A910" s="26"/>
      <c r="B910" s="26"/>
      <c r="C910" s="26"/>
      <c r="D910" s="26"/>
      <c r="E910" s="27"/>
      <c r="F910" s="27"/>
      <c r="G910" s="27"/>
      <c r="H910" s="28"/>
    </row>
    <row r="911" spans="1:8" ht="14.25">
      <c r="A911" s="26"/>
      <c r="B911" s="26"/>
      <c r="C911" s="26"/>
      <c r="D911" s="26"/>
      <c r="E911" s="27"/>
      <c r="F911" s="27"/>
      <c r="G911" s="27"/>
      <c r="H911" s="28"/>
    </row>
    <row r="912" spans="1:8" ht="14.25">
      <c r="A912" s="26"/>
      <c r="B912" s="26"/>
      <c r="C912" s="26"/>
      <c r="D912" s="26"/>
      <c r="E912" s="27"/>
      <c r="F912" s="27"/>
      <c r="G912" s="27"/>
      <c r="H912" s="28"/>
    </row>
    <row r="913" spans="1:8" ht="14.25">
      <c r="A913" s="26"/>
      <c r="B913" s="26"/>
      <c r="C913" s="26"/>
      <c r="D913" s="26"/>
      <c r="E913" s="27"/>
      <c r="F913" s="27"/>
      <c r="G913" s="27"/>
      <c r="H913" s="28"/>
    </row>
    <row r="914" spans="1:8" ht="14.25">
      <c r="A914" s="26"/>
      <c r="B914" s="26"/>
      <c r="C914" s="26"/>
      <c r="D914" s="26"/>
      <c r="E914" s="27"/>
      <c r="F914" s="27"/>
      <c r="G914" s="27"/>
      <c r="H914" s="28"/>
    </row>
    <row r="915" spans="1:8" ht="14.25">
      <c r="A915" s="26"/>
      <c r="B915" s="26"/>
      <c r="C915" s="26"/>
      <c r="D915" s="26"/>
      <c r="E915" s="27"/>
      <c r="F915" s="27"/>
      <c r="G915" s="27"/>
      <c r="H915" s="28"/>
    </row>
    <row r="916" spans="1:8" ht="14.25">
      <c r="A916" s="26"/>
      <c r="B916" s="26"/>
      <c r="C916" s="26"/>
      <c r="D916" s="26"/>
      <c r="E916" s="27"/>
      <c r="F916" s="27"/>
      <c r="G916" s="27"/>
      <c r="H916" s="28"/>
    </row>
    <row r="917" spans="1:8" ht="14.25">
      <c r="A917" s="26"/>
      <c r="B917" s="26"/>
      <c r="C917" s="26"/>
      <c r="D917" s="26"/>
      <c r="E917" s="27"/>
      <c r="F917" s="27"/>
      <c r="G917" s="27"/>
      <c r="H917" s="28"/>
    </row>
    <row r="918" spans="1:8" ht="14.25">
      <c r="A918" s="26"/>
      <c r="B918" s="26"/>
      <c r="C918" s="26"/>
      <c r="D918" s="26"/>
      <c r="E918" s="27"/>
      <c r="F918" s="27"/>
      <c r="G918" s="27"/>
      <c r="H918" s="28"/>
    </row>
    <row r="919" spans="1:8" ht="14.25">
      <c r="A919" s="26"/>
      <c r="B919" s="26"/>
      <c r="C919" s="26"/>
      <c r="D919" s="26"/>
      <c r="E919" s="27"/>
      <c r="F919" s="27"/>
      <c r="G919" s="27"/>
      <c r="H919" s="28"/>
    </row>
    <row r="920" spans="1:8" ht="14.25">
      <c r="A920" s="26"/>
      <c r="B920" s="26"/>
      <c r="C920" s="26"/>
      <c r="D920" s="26"/>
      <c r="E920" s="27"/>
      <c r="F920" s="27"/>
      <c r="G920" s="27"/>
      <c r="H920" s="28"/>
    </row>
    <row r="921" spans="1:8" ht="14.25">
      <c r="A921" s="26"/>
      <c r="B921" s="26"/>
      <c r="C921" s="26"/>
      <c r="D921" s="26"/>
      <c r="E921" s="27"/>
      <c r="F921" s="27"/>
      <c r="G921" s="27"/>
      <c r="H921" s="28"/>
    </row>
    <row r="922" spans="1:8" ht="14.25">
      <c r="A922" s="26"/>
      <c r="B922" s="26"/>
      <c r="C922" s="26"/>
      <c r="D922" s="26"/>
      <c r="E922" s="27"/>
      <c r="F922" s="27"/>
      <c r="G922" s="27"/>
      <c r="H922" s="28"/>
    </row>
    <row r="923" spans="1:8" ht="14.25">
      <c r="A923" s="26"/>
      <c r="B923" s="26"/>
      <c r="C923" s="26"/>
      <c r="D923" s="26"/>
      <c r="E923" s="27"/>
      <c r="F923" s="27"/>
      <c r="G923" s="27"/>
      <c r="H923" s="28"/>
    </row>
    <row r="924" spans="1:8" ht="14.25">
      <c r="A924" s="26"/>
      <c r="B924" s="26"/>
      <c r="C924" s="26"/>
      <c r="D924" s="26"/>
      <c r="E924" s="27"/>
      <c r="F924" s="27"/>
      <c r="G924" s="27"/>
      <c r="H924" s="28"/>
    </row>
    <row r="925" spans="1:8" ht="14.25">
      <c r="A925" s="26"/>
      <c r="B925" s="26"/>
      <c r="C925" s="26"/>
      <c r="D925" s="26"/>
      <c r="E925" s="27"/>
      <c r="F925" s="27"/>
      <c r="G925" s="27"/>
      <c r="H925" s="28"/>
    </row>
    <row r="926" spans="1:8" ht="14.25">
      <c r="A926" s="26"/>
      <c r="B926" s="26"/>
      <c r="C926" s="26"/>
      <c r="D926" s="26"/>
      <c r="E926" s="27"/>
      <c r="F926" s="27"/>
      <c r="G926" s="27"/>
      <c r="H926" s="28"/>
    </row>
    <row r="927" spans="1:8" ht="14.25">
      <c r="A927" s="26"/>
      <c r="B927" s="26"/>
      <c r="C927" s="26"/>
      <c r="D927" s="26"/>
      <c r="E927" s="27"/>
      <c r="F927" s="27"/>
      <c r="G927" s="27"/>
      <c r="H927" s="28"/>
    </row>
    <row r="928" spans="1:8" ht="14.25">
      <c r="A928" s="26"/>
      <c r="B928" s="26"/>
      <c r="C928" s="26"/>
      <c r="D928" s="26"/>
      <c r="E928" s="27"/>
      <c r="F928" s="27"/>
      <c r="G928" s="27"/>
      <c r="H928" s="28"/>
    </row>
    <row r="929" spans="1:8" ht="14.25">
      <c r="A929" s="26"/>
      <c r="B929" s="26"/>
      <c r="C929" s="26"/>
      <c r="D929" s="26"/>
      <c r="E929" s="27"/>
      <c r="F929" s="27"/>
      <c r="G929" s="27"/>
      <c r="H929" s="28"/>
    </row>
    <row r="930" spans="1:8" ht="14.25">
      <c r="A930" s="26"/>
      <c r="B930" s="26"/>
      <c r="C930" s="26"/>
      <c r="D930" s="26"/>
      <c r="E930" s="27"/>
      <c r="F930" s="27"/>
      <c r="G930" s="27"/>
      <c r="H930" s="28"/>
    </row>
    <row r="931" spans="1:8" ht="14.25">
      <c r="A931" s="26"/>
      <c r="B931" s="26"/>
      <c r="C931" s="26"/>
      <c r="D931" s="26"/>
      <c r="E931" s="27"/>
      <c r="F931" s="27"/>
      <c r="G931" s="27"/>
      <c r="H931" s="28"/>
    </row>
    <row r="932" spans="1:8" ht="14.25">
      <c r="A932" s="26"/>
      <c r="B932" s="26"/>
      <c r="C932" s="26"/>
      <c r="D932" s="26"/>
      <c r="E932" s="27"/>
      <c r="F932" s="27"/>
      <c r="G932" s="27"/>
      <c r="H932" s="28"/>
    </row>
    <row r="933" spans="1:8" ht="14.25">
      <c r="A933" s="26"/>
      <c r="B933" s="26"/>
      <c r="C933" s="26"/>
      <c r="D933" s="26"/>
      <c r="E933" s="27"/>
      <c r="F933" s="27"/>
      <c r="G933" s="27"/>
      <c r="H933" s="28"/>
    </row>
    <row r="934" spans="1:8" ht="14.25">
      <c r="A934" s="26"/>
      <c r="B934" s="26"/>
      <c r="C934" s="26"/>
      <c r="D934" s="26"/>
      <c r="E934" s="27"/>
      <c r="F934" s="27"/>
      <c r="G934" s="27"/>
      <c r="H934" s="28"/>
    </row>
    <row r="935" spans="1:8" ht="14.25">
      <c r="A935" s="26"/>
      <c r="B935" s="26"/>
      <c r="C935" s="26"/>
      <c r="D935" s="26"/>
      <c r="E935" s="27"/>
      <c r="F935" s="27"/>
      <c r="G935" s="27"/>
      <c r="H935" s="28"/>
    </row>
    <row r="936" spans="1:8" ht="14.25">
      <c r="A936" s="26"/>
      <c r="B936" s="26"/>
      <c r="C936" s="26"/>
      <c r="D936" s="26"/>
      <c r="E936" s="27"/>
      <c r="F936" s="27"/>
      <c r="G936" s="27"/>
      <c r="H936" s="28"/>
    </row>
    <row r="937" spans="1:8" ht="14.25">
      <c r="A937" s="26"/>
      <c r="B937" s="26"/>
      <c r="C937" s="26"/>
      <c r="D937" s="26"/>
      <c r="E937" s="27"/>
      <c r="F937" s="27"/>
      <c r="G937" s="27"/>
      <c r="H937" s="28"/>
    </row>
    <row r="938" spans="1:8" ht="14.25">
      <c r="A938" s="26"/>
      <c r="B938" s="26"/>
      <c r="C938" s="26"/>
      <c r="D938" s="26"/>
      <c r="E938" s="27"/>
      <c r="F938" s="27"/>
      <c r="G938" s="27"/>
      <c r="H938" s="28"/>
    </row>
    <row r="939" spans="1:8" ht="14.25">
      <c r="A939" s="26"/>
      <c r="B939" s="26"/>
      <c r="C939" s="26"/>
      <c r="D939" s="26"/>
      <c r="E939" s="27"/>
      <c r="F939" s="27"/>
      <c r="G939" s="27"/>
      <c r="H939" s="28"/>
    </row>
    <row r="940" spans="1:8" ht="14.25">
      <c r="A940" s="26"/>
      <c r="B940" s="26"/>
      <c r="C940" s="26"/>
      <c r="D940" s="26"/>
      <c r="E940" s="27"/>
      <c r="F940" s="27"/>
      <c r="G940" s="27"/>
      <c r="H940" s="28"/>
    </row>
    <row r="941" spans="1:8" ht="14.25">
      <c r="A941" s="26"/>
      <c r="B941" s="26"/>
      <c r="C941" s="26"/>
      <c r="D941" s="26"/>
      <c r="E941" s="27"/>
      <c r="F941" s="27"/>
      <c r="G941" s="27"/>
      <c r="H941" s="28"/>
    </row>
    <row r="942" spans="1:8" ht="14.25">
      <c r="A942" s="26"/>
      <c r="B942" s="26"/>
      <c r="C942" s="26"/>
      <c r="D942" s="26"/>
      <c r="E942" s="27"/>
      <c r="F942" s="27"/>
      <c r="G942" s="27"/>
      <c r="H942" s="28"/>
    </row>
    <row r="943" spans="1:8" ht="14.25">
      <c r="A943" s="26"/>
      <c r="B943" s="26"/>
      <c r="C943" s="26"/>
      <c r="D943" s="26"/>
      <c r="E943" s="27"/>
      <c r="F943" s="27"/>
      <c r="G943" s="27"/>
      <c r="H943" s="28"/>
    </row>
    <row r="944" spans="1:8" ht="14.25">
      <c r="A944" s="26"/>
      <c r="B944" s="26"/>
      <c r="C944" s="26"/>
      <c r="D944" s="26"/>
      <c r="E944" s="27"/>
      <c r="F944" s="27"/>
      <c r="G944" s="27"/>
      <c r="H944" s="28"/>
    </row>
    <row r="945" spans="1:8" ht="14.25">
      <c r="A945" s="26"/>
      <c r="B945" s="26"/>
      <c r="C945" s="26"/>
      <c r="D945" s="26"/>
      <c r="E945" s="27"/>
      <c r="F945" s="27"/>
      <c r="G945" s="27"/>
      <c r="H945" s="28"/>
    </row>
    <row r="946" spans="1:8" ht="14.25">
      <c r="A946" s="26"/>
      <c r="B946" s="26"/>
      <c r="C946" s="26"/>
      <c r="D946" s="26"/>
      <c r="E946" s="27"/>
      <c r="F946" s="27"/>
      <c r="G946" s="27"/>
      <c r="H946" s="28"/>
    </row>
    <row r="947" spans="1:8" ht="14.25">
      <c r="A947" s="26"/>
      <c r="B947" s="26"/>
      <c r="C947" s="26"/>
      <c r="D947" s="26"/>
      <c r="E947" s="27"/>
      <c r="F947" s="27"/>
      <c r="G947" s="27"/>
      <c r="H947" s="28"/>
    </row>
    <row r="948" spans="1:8" ht="14.25">
      <c r="A948" s="26"/>
      <c r="B948" s="26"/>
      <c r="C948" s="26"/>
      <c r="D948" s="26"/>
      <c r="E948" s="27"/>
      <c r="F948" s="27"/>
      <c r="G948" s="27"/>
      <c r="H948" s="28"/>
    </row>
    <row r="949" spans="1:8" ht="14.25">
      <c r="A949" s="26"/>
      <c r="B949" s="26"/>
      <c r="C949" s="26"/>
      <c r="D949" s="26"/>
      <c r="E949" s="27"/>
      <c r="F949" s="27"/>
      <c r="G949" s="27"/>
      <c r="H949" s="28"/>
    </row>
    <row r="950" spans="1:8" ht="14.25">
      <c r="A950" s="26"/>
      <c r="B950" s="26"/>
      <c r="C950" s="26"/>
      <c r="D950" s="26"/>
      <c r="E950" s="27"/>
      <c r="F950" s="27"/>
      <c r="G950" s="27"/>
      <c r="H950" s="28"/>
    </row>
    <row r="951" spans="1:8" ht="14.25">
      <c r="A951" s="26"/>
      <c r="B951" s="26"/>
      <c r="C951" s="26"/>
      <c r="D951" s="26"/>
      <c r="E951" s="27"/>
      <c r="F951" s="27"/>
      <c r="G951" s="27"/>
      <c r="H951" s="28"/>
    </row>
    <row r="952" spans="1:8" ht="14.25">
      <c r="A952" s="26"/>
      <c r="B952" s="26"/>
      <c r="C952" s="26"/>
      <c r="D952" s="26"/>
      <c r="E952" s="27"/>
      <c r="F952" s="27"/>
      <c r="G952" s="27"/>
      <c r="H952" s="28"/>
    </row>
    <row r="953" spans="1:8" ht="14.25">
      <c r="A953" s="26"/>
      <c r="B953" s="26"/>
      <c r="C953" s="26"/>
      <c r="D953" s="26"/>
      <c r="E953" s="27"/>
      <c r="F953" s="27"/>
      <c r="G953" s="27"/>
      <c r="H953" s="28"/>
    </row>
    <row r="954" spans="1:8" ht="14.25">
      <c r="A954" s="26"/>
      <c r="B954" s="26"/>
      <c r="C954" s="26"/>
      <c r="D954" s="26"/>
      <c r="E954" s="27"/>
      <c r="F954" s="27"/>
      <c r="G954" s="27"/>
      <c r="H954" s="28"/>
    </row>
    <row r="955" spans="1:8" ht="14.25">
      <c r="A955" s="26"/>
      <c r="B955" s="26"/>
      <c r="C955" s="26"/>
      <c r="D955" s="26"/>
      <c r="E955" s="27"/>
      <c r="F955" s="27"/>
      <c r="G955" s="27"/>
      <c r="H955" s="28"/>
    </row>
    <row r="956" spans="1:8" ht="14.25">
      <c r="A956" s="26"/>
      <c r="B956" s="26"/>
      <c r="C956" s="26"/>
      <c r="D956" s="26"/>
      <c r="E956" s="27"/>
      <c r="F956" s="27"/>
      <c r="G956" s="27"/>
      <c r="H956" s="28"/>
    </row>
    <row r="957" spans="1:8" ht="14.25">
      <c r="A957" s="26"/>
      <c r="B957" s="26"/>
      <c r="C957" s="26"/>
      <c r="D957" s="26"/>
      <c r="E957" s="27"/>
      <c r="F957" s="27"/>
      <c r="G957" s="27"/>
      <c r="H957" s="28"/>
    </row>
    <row r="958" spans="1:8" ht="14.25">
      <c r="A958" s="26"/>
      <c r="B958" s="26"/>
      <c r="C958" s="26"/>
      <c r="D958" s="26"/>
      <c r="E958" s="27"/>
      <c r="F958" s="27"/>
      <c r="G958" s="27"/>
      <c r="H958" s="28"/>
    </row>
    <row r="959" spans="1:8" ht="14.25">
      <c r="A959" s="26"/>
      <c r="B959" s="26"/>
      <c r="C959" s="26"/>
      <c r="D959" s="26"/>
      <c r="E959" s="27"/>
      <c r="F959" s="27"/>
      <c r="G959" s="27"/>
      <c r="H959" s="28"/>
    </row>
    <row r="960" spans="1:8" ht="14.25">
      <c r="A960" s="26"/>
      <c r="B960" s="26"/>
      <c r="C960" s="26"/>
      <c r="D960" s="26"/>
      <c r="E960" s="27"/>
      <c r="F960" s="27"/>
      <c r="G960" s="27"/>
      <c r="H960" s="28"/>
    </row>
    <row r="961" spans="1:8" ht="14.25">
      <c r="A961" s="26"/>
      <c r="B961" s="26"/>
      <c r="C961" s="26"/>
      <c r="D961" s="26"/>
      <c r="E961" s="27"/>
      <c r="F961" s="27"/>
      <c r="G961" s="27"/>
      <c r="H961" s="28"/>
    </row>
    <row r="962" spans="1:8" ht="14.25">
      <c r="A962" s="26"/>
      <c r="B962" s="26"/>
      <c r="C962" s="26"/>
      <c r="D962" s="26"/>
      <c r="E962" s="27"/>
      <c r="F962" s="27"/>
      <c r="G962" s="27"/>
      <c r="H962" s="28"/>
    </row>
    <row r="963" spans="1:8" ht="14.25">
      <c r="A963" s="26"/>
      <c r="B963" s="26"/>
      <c r="C963" s="26"/>
      <c r="D963" s="26"/>
      <c r="E963" s="27"/>
      <c r="F963" s="27"/>
      <c r="G963" s="27"/>
      <c r="H963" s="28"/>
    </row>
    <row r="964" spans="1:8" ht="14.25">
      <c r="A964" s="26"/>
      <c r="B964" s="26"/>
      <c r="C964" s="26"/>
      <c r="D964" s="26"/>
      <c r="E964" s="27"/>
      <c r="F964" s="27"/>
      <c r="G964" s="27"/>
      <c r="H964" s="28"/>
    </row>
    <row r="965" spans="1:8" ht="14.25">
      <c r="A965" s="26"/>
      <c r="B965" s="26"/>
      <c r="C965" s="26"/>
      <c r="D965" s="26"/>
      <c r="E965" s="27"/>
      <c r="F965" s="27"/>
      <c r="G965" s="27"/>
      <c r="H965" s="28"/>
    </row>
    <row r="966" spans="1:8" ht="14.25">
      <c r="A966" s="26"/>
      <c r="B966" s="26"/>
      <c r="C966" s="26"/>
      <c r="D966" s="26"/>
      <c r="E966" s="27"/>
      <c r="F966" s="27"/>
      <c r="G966" s="27"/>
      <c r="H966" s="28"/>
    </row>
    <row r="967" spans="1:8" ht="14.25">
      <c r="A967" s="26"/>
      <c r="B967" s="26"/>
      <c r="C967" s="26"/>
      <c r="D967" s="26"/>
      <c r="E967" s="27"/>
      <c r="F967" s="27"/>
      <c r="G967" s="27"/>
      <c r="H967" s="28"/>
    </row>
    <row r="968" spans="1:8" ht="14.25">
      <c r="A968" s="26"/>
      <c r="B968" s="26"/>
      <c r="C968" s="26"/>
      <c r="D968" s="26"/>
      <c r="E968" s="27"/>
      <c r="F968" s="27"/>
      <c r="G968" s="27"/>
      <c r="H968" s="28"/>
    </row>
    <row r="969" spans="1:8" ht="14.25">
      <c r="A969" s="26"/>
      <c r="B969" s="26"/>
      <c r="C969" s="26"/>
      <c r="D969" s="26"/>
      <c r="E969" s="27"/>
      <c r="F969" s="27"/>
      <c r="G969" s="27"/>
      <c r="H969" s="28"/>
    </row>
    <row r="970" spans="1:8" ht="14.25">
      <c r="A970" s="26"/>
      <c r="B970" s="26"/>
      <c r="C970" s="26"/>
      <c r="D970" s="26"/>
      <c r="E970" s="27"/>
      <c r="F970" s="27"/>
      <c r="G970" s="27"/>
      <c r="H970" s="28"/>
    </row>
    <row r="971" spans="1:8" ht="14.25">
      <c r="A971" s="26"/>
      <c r="B971" s="26"/>
      <c r="C971" s="26"/>
      <c r="D971" s="26"/>
      <c r="E971" s="27"/>
      <c r="F971" s="27"/>
      <c r="G971" s="27"/>
      <c r="H971" s="28"/>
    </row>
    <row r="972" spans="1:8" ht="14.25">
      <c r="A972" s="26"/>
      <c r="B972" s="26"/>
      <c r="C972" s="26"/>
      <c r="D972" s="26"/>
      <c r="E972" s="27"/>
      <c r="F972" s="27"/>
      <c r="G972" s="27"/>
      <c r="H972" s="28"/>
    </row>
    <row r="973" spans="1:8" ht="14.25">
      <c r="A973" s="26"/>
      <c r="B973" s="26"/>
      <c r="C973" s="26"/>
      <c r="D973" s="26"/>
      <c r="E973" s="27"/>
      <c r="F973" s="27"/>
      <c r="G973" s="27"/>
      <c r="H973" s="28"/>
    </row>
    <row r="974" spans="1:8" ht="14.25">
      <c r="A974" s="26"/>
      <c r="B974" s="26"/>
      <c r="C974" s="26"/>
      <c r="D974" s="26"/>
      <c r="E974" s="27"/>
      <c r="F974" s="27"/>
      <c r="G974" s="27"/>
      <c r="H974" s="28"/>
    </row>
    <row r="975" spans="1:8" ht="14.25">
      <c r="A975" s="26"/>
      <c r="B975" s="26"/>
      <c r="C975" s="26"/>
      <c r="D975" s="26"/>
      <c r="E975" s="27"/>
      <c r="F975" s="27"/>
      <c r="G975" s="27"/>
      <c r="H975" s="28"/>
    </row>
    <row r="976" spans="1:8" ht="14.25">
      <c r="A976" s="26"/>
      <c r="B976" s="26"/>
      <c r="C976" s="26"/>
      <c r="D976" s="26"/>
      <c r="E976" s="27"/>
      <c r="F976" s="27"/>
      <c r="G976" s="27"/>
      <c r="H976" s="28"/>
    </row>
    <row r="977" spans="1:8" ht="14.25">
      <c r="A977" s="26"/>
      <c r="B977" s="26"/>
      <c r="C977" s="26"/>
      <c r="D977" s="26"/>
      <c r="E977" s="27"/>
      <c r="F977" s="27"/>
      <c r="G977" s="27"/>
      <c r="H977" s="28"/>
    </row>
    <row r="978" spans="1:8" ht="14.25">
      <c r="A978" s="26"/>
      <c r="B978" s="26"/>
      <c r="C978" s="26"/>
      <c r="D978" s="26"/>
      <c r="E978" s="27"/>
      <c r="F978" s="27"/>
      <c r="G978" s="27"/>
      <c r="H978" s="28"/>
    </row>
    <row r="979" spans="1:8" ht="14.25">
      <c r="A979" s="26"/>
      <c r="B979" s="26"/>
      <c r="C979" s="26"/>
      <c r="D979" s="26"/>
      <c r="E979" s="27"/>
      <c r="F979" s="27"/>
      <c r="G979" s="27"/>
      <c r="H979" s="28"/>
    </row>
    <row r="980" spans="1:8" ht="14.25">
      <c r="A980" s="26"/>
      <c r="B980" s="26"/>
      <c r="C980" s="26"/>
      <c r="D980" s="26"/>
      <c r="E980" s="27"/>
      <c r="F980" s="27"/>
      <c r="G980" s="27"/>
      <c r="H980" s="28"/>
    </row>
    <row r="981" spans="1:8" ht="14.25">
      <c r="A981" s="26"/>
      <c r="B981" s="26"/>
      <c r="C981" s="26"/>
      <c r="D981" s="26"/>
      <c r="E981" s="27"/>
      <c r="F981" s="27"/>
      <c r="G981" s="27"/>
      <c r="H981" s="28"/>
    </row>
    <row r="982" spans="1:8" ht="14.25">
      <c r="A982" s="26"/>
      <c r="B982" s="26"/>
      <c r="C982" s="26"/>
      <c r="D982" s="26"/>
      <c r="E982" s="27"/>
      <c r="F982" s="27"/>
      <c r="G982" s="27"/>
      <c r="H982" s="28"/>
    </row>
    <row r="983" spans="1:8" ht="14.25">
      <c r="A983" s="26"/>
      <c r="B983" s="26"/>
      <c r="C983" s="26"/>
      <c r="D983" s="26"/>
      <c r="E983" s="27"/>
      <c r="F983" s="27"/>
      <c r="G983" s="27"/>
      <c r="H983" s="28"/>
    </row>
    <row r="984" spans="1:8" ht="14.25">
      <c r="A984" s="26"/>
      <c r="B984" s="26"/>
      <c r="C984" s="26"/>
      <c r="D984" s="26"/>
      <c r="E984" s="27"/>
      <c r="F984" s="27"/>
      <c r="G984" s="27"/>
      <c r="H984" s="28"/>
    </row>
    <row r="985" spans="1:8" ht="14.25">
      <c r="A985" s="26"/>
      <c r="B985" s="26"/>
      <c r="C985" s="26"/>
      <c r="D985" s="26"/>
      <c r="E985" s="27"/>
      <c r="F985" s="27"/>
      <c r="G985" s="27"/>
      <c r="H985" s="28"/>
    </row>
    <row r="986" spans="1:8" ht="14.25">
      <c r="A986" s="26"/>
      <c r="B986" s="26"/>
      <c r="C986" s="26"/>
      <c r="D986" s="26"/>
      <c r="E986" s="27"/>
      <c r="F986" s="27"/>
      <c r="G986" s="27"/>
      <c r="H986" s="28"/>
    </row>
    <row r="987" spans="1:8" ht="14.25">
      <c r="A987" s="26"/>
      <c r="B987" s="26"/>
      <c r="C987" s="26"/>
      <c r="D987" s="26"/>
      <c r="E987" s="27"/>
      <c r="F987" s="27"/>
      <c r="G987" s="27"/>
      <c r="H987" s="28"/>
    </row>
    <row r="988" spans="1:8" ht="14.25">
      <c r="A988" s="26"/>
      <c r="B988" s="26"/>
      <c r="C988" s="26"/>
      <c r="D988" s="26"/>
      <c r="E988" s="27"/>
      <c r="F988" s="27"/>
      <c r="G988" s="27"/>
      <c r="H988" s="28"/>
    </row>
    <row r="989" spans="1:8" ht="14.25">
      <c r="A989" s="26"/>
      <c r="B989" s="26"/>
      <c r="C989" s="26"/>
      <c r="D989" s="26"/>
      <c r="E989" s="27"/>
      <c r="F989" s="27"/>
      <c r="G989" s="27"/>
      <c r="H989" s="28"/>
    </row>
    <row r="990" spans="1:8" ht="14.25">
      <c r="A990" s="26"/>
      <c r="B990" s="26"/>
      <c r="C990" s="26"/>
      <c r="D990" s="26"/>
      <c r="E990" s="27"/>
      <c r="F990" s="27"/>
      <c r="G990" s="27"/>
      <c r="H990" s="28"/>
    </row>
    <row r="991" spans="1:8" ht="14.25">
      <c r="A991" s="26"/>
      <c r="B991" s="26"/>
      <c r="C991" s="26"/>
      <c r="D991" s="26"/>
      <c r="E991" s="27"/>
      <c r="F991" s="27"/>
      <c r="G991" s="27"/>
      <c r="H991" s="28"/>
    </row>
    <row r="992" spans="1:8" ht="14.25">
      <c r="A992" s="26"/>
      <c r="B992" s="26"/>
      <c r="C992" s="26"/>
      <c r="D992" s="26"/>
      <c r="E992" s="27"/>
      <c r="F992" s="27"/>
      <c r="G992" s="27"/>
      <c r="H992" s="28"/>
    </row>
    <row r="993" spans="1:8" ht="14.25">
      <c r="A993" s="26"/>
      <c r="B993" s="26"/>
      <c r="C993" s="26"/>
      <c r="D993" s="26"/>
      <c r="E993" s="27"/>
      <c r="F993" s="27"/>
      <c r="G993" s="27"/>
      <c r="H993" s="28"/>
    </row>
    <row r="994" spans="1:8" ht="14.25">
      <c r="A994" s="26"/>
      <c r="B994" s="26"/>
      <c r="C994" s="26"/>
      <c r="D994" s="26"/>
      <c r="E994" s="27"/>
      <c r="F994" s="27"/>
      <c r="G994" s="27"/>
      <c r="H994" s="28"/>
    </row>
    <row r="995" spans="1:8" ht="14.25">
      <c r="A995" s="26"/>
      <c r="B995" s="26"/>
      <c r="C995" s="26"/>
      <c r="D995" s="26"/>
      <c r="E995" s="27"/>
      <c r="F995" s="27"/>
      <c r="G995" s="27"/>
      <c r="H995" s="28"/>
    </row>
    <row r="996" spans="1:8" ht="14.25">
      <c r="A996" s="26"/>
      <c r="B996" s="26"/>
      <c r="C996" s="26"/>
      <c r="D996" s="26"/>
      <c r="E996" s="27"/>
      <c r="F996" s="27"/>
      <c r="G996" s="27"/>
      <c r="H996" s="28"/>
    </row>
    <row r="997" spans="1:8" ht="14.25">
      <c r="A997" s="26"/>
      <c r="B997" s="26"/>
      <c r="C997" s="26"/>
      <c r="D997" s="26"/>
      <c r="E997" s="27"/>
      <c r="F997" s="27"/>
      <c r="G997" s="27"/>
      <c r="H997" s="28"/>
    </row>
    <row r="998" spans="1:8" ht="14.25">
      <c r="A998" s="26"/>
      <c r="B998" s="26"/>
      <c r="C998" s="26"/>
      <c r="D998" s="26"/>
      <c r="E998" s="27"/>
      <c r="F998" s="27"/>
      <c r="G998" s="27"/>
      <c r="H998" s="28"/>
    </row>
    <row r="999" spans="1:8" ht="14.25">
      <c r="A999" s="26"/>
      <c r="B999" s="26"/>
      <c r="C999" s="26"/>
      <c r="D999" s="26"/>
      <c r="E999" s="27"/>
      <c r="F999" s="27"/>
      <c r="G999" s="27"/>
      <c r="H999" s="28"/>
    </row>
    <row r="1000" spans="1:8" ht="14.25">
      <c r="A1000" s="26"/>
      <c r="B1000" s="26"/>
      <c r="C1000" s="26"/>
      <c r="D1000" s="26"/>
      <c r="E1000" s="27"/>
      <c r="F1000" s="27"/>
      <c r="G1000" s="27"/>
      <c r="H1000" s="28"/>
    </row>
    <row r="1001" spans="1:8" ht="14.25">
      <c r="A1001" s="26"/>
      <c r="B1001" s="26"/>
      <c r="C1001" s="26"/>
      <c r="D1001" s="26"/>
      <c r="E1001" s="27"/>
      <c r="F1001" s="27"/>
      <c r="G1001" s="27"/>
      <c r="H1001" s="28"/>
    </row>
    <row r="1002" spans="1:8" ht="14.25">
      <c r="A1002" s="26"/>
      <c r="B1002" s="26"/>
      <c r="C1002" s="26"/>
      <c r="D1002" s="26"/>
      <c r="E1002" s="27"/>
      <c r="F1002" s="27"/>
      <c r="G1002" s="27"/>
      <c r="H1002" s="28"/>
    </row>
    <row r="1003" spans="1:8" ht="14.25">
      <c r="A1003" s="26"/>
      <c r="B1003" s="26"/>
      <c r="C1003" s="26"/>
      <c r="D1003" s="26"/>
      <c r="E1003" s="27"/>
      <c r="F1003" s="27"/>
      <c r="G1003" s="27"/>
      <c r="H1003" s="28"/>
    </row>
    <row r="1004" spans="1:8" ht="14.25">
      <c r="A1004" s="26"/>
      <c r="B1004" s="26"/>
      <c r="C1004" s="26"/>
      <c r="D1004" s="26"/>
      <c r="E1004" s="27"/>
      <c r="F1004" s="27"/>
      <c r="G1004" s="27"/>
      <c r="H1004" s="28"/>
    </row>
    <row r="1005" spans="1:8" ht="14.25">
      <c r="A1005" s="26"/>
      <c r="B1005" s="26"/>
      <c r="C1005" s="26"/>
      <c r="D1005" s="26"/>
      <c r="E1005" s="27"/>
      <c r="F1005" s="27"/>
      <c r="G1005" s="27"/>
      <c r="H1005" s="28"/>
    </row>
    <row r="1006" spans="1:8" ht="14.25">
      <c r="A1006" s="26"/>
      <c r="B1006" s="26"/>
      <c r="C1006" s="26"/>
      <c r="D1006" s="26"/>
      <c r="E1006" s="27"/>
      <c r="F1006" s="27"/>
      <c r="G1006" s="27"/>
      <c r="H1006" s="28"/>
    </row>
    <row r="1007" spans="1:8" ht="14.25">
      <c r="A1007" s="26"/>
      <c r="B1007" s="26"/>
      <c r="C1007" s="26"/>
      <c r="D1007" s="26"/>
      <c r="E1007" s="27"/>
      <c r="F1007" s="27"/>
      <c r="G1007" s="27"/>
      <c r="H1007" s="28"/>
    </row>
    <row r="1008" spans="1:8" ht="14.25">
      <c r="A1008" s="26"/>
      <c r="B1008" s="26"/>
      <c r="C1008" s="26"/>
      <c r="D1008" s="26"/>
      <c r="E1008" s="27"/>
      <c r="F1008" s="27"/>
      <c r="G1008" s="27"/>
      <c r="H1008" s="28"/>
    </row>
    <row r="1009" spans="1:8" ht="14.25">
      <c r="A1009" s="26"/>
      <c r="B1009" s="26"/>
      <c r="C1009" s="26"/>
      <c r="D1009" s="26"/>
      <c r="E1009" s="27"/>
      <c r="F1009" s="27"/>
      <c r="G1009" s="27"/>
      <c r="H1009" s="28"/>
    </row>
    <row r="1010" spans="1:8" ht="14.25">
      <c r="A1010" s="26"/>
      <c r="B1010" s="26"/>
      <c r="C1010" s="26"/>
      <c r="D1010" s="26"/>
      <c r="E1010" s="27"/>
      <c r="F1010" s="27"/>
      <c r="G1010" s="27"/>
      <c r="H1010" s="28"/>
    </row>
    <row r="1011" spans="1:8" ht="14.25">
      <c r="A1011" s="26"/>
      <c r="B1011" s="26"/>
      <c r="C1011" s="26"/>
      <c r="D1011" s="26"/>
      <c r="E1011" s="27"/>
      <c r="F1011" s="27"/>
      <c r="G1011" s="27"/>
      <c r="H1011" s="28"/>
    </row>
    <row r="1012" spans="1:8" ht="14.25">
      <c r="A1012" s="26"/>
      <c r="B1012" s="26"/>
      <c r="C1012" s="26"/>
      <c r="D1012" s="26"/>
      <c r="E1012" s="27"/>
      <c r="F1012" s="27"/>
      <c r="G1012" s="27"/>
      <c r="H1012" s="28"/>
    </row>
    <row r="1013" spans="1:8" ht="14.25">
      <c r="A1013" s="26"/>
      <c r="B1013" s="26"/>
      <c r="C1013" s="26"/>
      <c r="D1013" s="26"/>
      <c r="E1013" s="27"/>
      <c r="F1013" s="27"/>
      <c r="G1013" s="27"/>
      <c r="H1013" s="28"/>
    </row>
    <row r="1014" spans="1:8" ht="14.25">
      <c r="A1014" s="26"/>
      <c r="B1014" s="26"/>
      <c r="C1014" s="26"/>
      <c r="D1014" s="26"/>
      <c r="E1014" s="27"/>
      <c r="F1014" s="27"/>
      <c r="G1014" s="27"/>
      <c r="H1014" s="28"/>
    </row>
    <row r="1015" spans="1:8" ht="14.25">
      <c r="A1015" s="29"/>
      <c r="B1015" s="26"/>
      <c r="C1015" s="26"/>
      <c r="D1015" s="26"/>
      <c r="E1015" s="27"/>
      <c r="F1015" s="27"/>
      <c r="G1015" s="27"/>
      <c r="H1015" s="28"/>
    </row>
  </sheetData>
  <dataValidations count="1">
    <dataValidation type="list" allowBlank="1" showErrorMessage="1" sqref="H2:H167" xr:uid="{00000000-0002-0000-0200-000004000000}">
      <formula1>"Esraa,Ahmed,Clara,Maryam"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200-000002000000}">
          <x14:formula1>
            <xm:f>Data!$A$3:$A$16</xm:f>
          </x14:formula1>
          <xm:sqref>D2:D167</xm:sqref>
        </x14:dataValidation>
        <x14:dataValidation type="list" allowBlank="1" showErrorMessage="1" xr:uid="{00000000-0002-0000-0200-000003000000}">
          <x14:formula1>
            <xm:f>Data!$I$2:$I$18</xm:f>
          </x14:formula1>
          <xm:sqref>B2:B167</xm:sqref>
        </x14:dataValidation>
        <x14:dataValidation type="list" allowBlank="1" showErrorMessage="1" xr:uid="{00000000-0002-0000-0200-000005000000}">
          <x14:formula1>
            <xm:f>Data!$E$1:$E$7</xm:f>
          </x14:formula1>
          <xm:sqref>C2:C167</xm:sqref>
        </x14:dataValidation>
        <x14:dataValidation type="list" allowBlank="1" showErrorMessage="1" xr:uid="{00000000-0002-0000-0200-000006000000}">
          <x14:formula1>
            <xm:f>Data!$C$3:$C$16</xm:f>
          </x14:formula1>
          <xm:sqref>E2:E167</xm:sqref>
        </x14:dataValidation>
        <x14:dataValidation type="list" allowBlank="1" showErrorMessage="1" xr:uid="{00000000-0002-0000-0200-000000000000}">
          <x14:formula1>
            <xm:f>'Traniees Name &amp; Package'!$B$3:$B$316</xm:f>
          </x14:formula1>
          <xm:sqref>A2:A167</xm:sqref>
        </x14:dataValidation>
        <x14:dataValidation type="list" allowBlank="1" showErrorMessage="1" xr:uid="{B78FEED3-6D2A-4209-B69A-D4AD4162782D}">
          <x14:formula1>
            <xm:f>'Off-Ice Attendence'!$A$1:$AD$1</xm:f>
          </x14:formula1>
          <xm:sqref>G2:G167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34"/>
  <sheetViews>
    <sheetView topLeftCell="X1" workbookViewId="0"/>
  </sheetViews>
  <sheetFormatPr defaultColWidth="12.5703125" defaultRowHeight="15.75" customHeight="1"/>
  <cols>
    <col min="1" max="16" width="24.7109375" style="78" customWidth="1"/>
    <col min="17" max="17" width="27.5703125" style="78" customWidth="1"/>
    <col min="18" max="18" width="28" style="78" customWidth="1"/>
    <col min="19" max="30" width="24.7109375" style="78" customWidth="1"/>
    <col min="31" max="16384" width="12.5703125" style="78"/>
  </cols>
  <sheetData>
    <row r="1" spans="1:30">
      <c r="A1" s="81">
        <v>46174</v>
      </c>
      <c r="B1" s="81">
        <v>46175</v>
      </c>
      <c r="C1" s="81">
        <v>46176</v>
      </c>
      <c r="D1" s="81">
        <v>46177</v>
      </c>
      <c r="E1" s="81">
        <v>46178</v>
      </c>
      <c r="F1" s="81">
        <v>46179</v>
      </c>
      <c r="G1" s="81">
        <v>46180</v>
      </c>
      <c r="H1" s="81">
        <v>46181</v>
      </c>
      <c r="I1" s="81">
        <v>46182</v>
      </c>
      <c r="J1" s="81">
        <v>46183</v>
      </c>
      <c r="K1" s="81">
        <v>46184</v>
      </c>
      <c r="L1" s="81">
        <v>46185</v>
      </c>
      <c r="M1" s="81">
        <v>46186</v>
      </c>
      <c r="N1" s="81">
        <v>46187</v>
      </c>
      <c r="O1" s="81">
        <v>46188</v>
      </c>
      <c r="P1" s="81">
        <v>46189</v>
      </c>
      <c r="Q1" s="81">
        <v>46190</v>
      </c>
      <c r="R1" s="81">
        <v>46191</v>
      </c>
      <c r="S1" s="81">
        <v>46192</v>
      </c>
      <c r="T1" s="81">
        <v>46193</v>
      </c>
      <c r="U1" s="81">
        <v>46194</v>
      </c>
      <c r="V1" s="81">
        <v>46195</v>
      </c>
      <c r="W1" s="81">
        <v>46196</v>
      </c>
      <c r="X1" s="81">
        <v>46197</v>
      </c>
      <c r="Y1" s="81">
        <v>46198</v>
      </c>
      <c r="Z1" s="81">
        <v>46199</v>
      </c>
      <c r="AA1" s="81">
        <v>46200</v>
      </c>
      <c r="AB1" s="81">
        <v>46201</v>
      </c>
      <c r="AC1" s="81">
        <v>46202</v>
      </c>
      <c r="AD1" s="81">
        <v>46203</v>
      </c>
    </row>
    <row r="2" spans="1:30">
      <c r="A2" s="75"/>
      <c r="B2" s="77"/>
      <c r="C2" s="75"/>
      <c r="D2" s="77"/>
      <c r="E2" s="77"/>
      <c r="F2" s="77"/>
      <c r="G2" s="75"/>
      <c r="H2" s="77"/>
      <c r="I2" s="75"/>
      <c r="J2" s="77"/>
      <c r="K2" s="75"/>
      <c r="L2" s="75"/>
      <c r="M2" s="77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</row>
    <row r="3" spans="1:30">
      <c r="A3" s="75"/>
      <c r="B3" s="77"/>
      <c r="C3" s="75"/>
      <c r="D3" s="77"/>
      <c r="E3" s="77"/>
      <c r="F3" s="77"/>
      <c r="G3" s="75"/>
      <c r="H3" s="77"/>
      <c r="I3" s="75"/>
      <c r="J3" s="77"/>
      <c r="K3" s="75"/>
      <c r="L3" s="75"/>
      <c r="M3" s="77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</row>
    <row r="4" spans="1:30">
      <c r="A4" s="75"/>
      <c r="B4" s="77"/>
      <c r="C4" s="75"/>
      <c r="D4" s="77"/>
      <c r="E4" s="77"/>
      <c r="F4" s="77"/>
      <c r="G4" s="75"/>
      <c r="H4" s="77"/>
      <c r="I4" s="75"/>
      <c r="J4" s="75"/>
      <c r="K4" s="75"/>
      <c r="L4" s="75"/>
      <c r="M4" s="77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</row>
    <row r="5" spans="1:30">
      <c r="A5" s="75"/>
      <c r="B5" s="77"/>
      <c r="C5" s="75"/>
      <c r="D5" s="77"/>
      <c r="E5" s="77"/>
      <c r="F5" s="77"/>
      <c r="G5" s="75"/>
      <c r="H5" s="77"/>
      <c r="I5" s="75"/>
      <c r="J5" s="75"/>
      <c r="K5" s="75"/>
      <c r="L5" s="75"/>
      <c r="M5" s="77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</row>
    <row r="6" spans="1:30">
      <c r="A6" s="75"/>
      <c r="B6" s="77"/>
      <c r="C6" s="75"/>
      <c r="D6" s="77"/>
      <c r="E6" s="77"/>
      <c r="F6" s="77"/>
      <c r="G6" s="75"/>
      <c r="H6" s="77"/>
      <c r="I6" s="75"/>
      <c r="J6" s="75"/>
      <c r="K6" s="75"/>
      <c r="L6" s="75"/>
      <c r="M6" s="77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</row>
    <row r="7" spans="1:30">
      <c r="A7" s="75"/>
      <c r="B7" s="77"/>
      <c r="C7" s="75"/>
      <c r="D7" s="77"/>
      <c r="E7" s="77"/>
      <c r="F7" s="77"/>
      <c r="G7" s="75"/>
      <c r="H7" s="77"/>
      <c r="I7" s="77"/>
      <c r="J7" s="75"/>
      <c r="K7" s="75"/>
      <c r="L7" s="75"/>
      <c r="M7" s="77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</row>
    <row r="8" spans="1:30">
      <c r="A8" s="77"/>
      <c r="B8" s="77"/>
      <c r="C8" s="75"/>
      <c r="D8" s="77"/>
      <c r="E8" s="77"/>
      <c r="F8" s="77"/>
      <c r="G8" s="77"/>
      <c r="H8" s="77"/>
      <c r="I8" s="77"/>
      <c r="J8" s="75"/>
      <c r="K8" s="75"/>
      <c r="L8" s="75"/>
      <c r="M8" s="77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</row>
    <row r="9" spans="1:30">
      <c r="A9" s="77"/>
      <c r="B9" s="77"/>
      <c r="C9" s="75"/>
      <c r="D9" s="77"/>
      <c r="E9" s="77"/>
      <c r="F9" s="77"/>
      <c r="G9" s="77"/>
      <c r="H9" s="77"/>
      <c r="I9" s="77"/>
      <c r="J9" s="75"/>
      <c r="K9" s="75"/>
      <c r="L9" s="75"/>
      <c r="M9" s="77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</row>
    <row r="10" spans="1:30">
      <c r="A10" s="77"/>
      <c r="B10" s="77"/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 spans="1:30">
      <c r="A11" s="77"/>
      <c r="B11" s="77"/>
      <c r="C11" s="75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</row>
    <row r="12" spans="1:30">
      <c r="A12" s="77"/>
      <c r="B12" s="77"/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</row>
    <row r="13" spans="1:30">
      <c r="A13" s="77"/>
      <c r="B13" s="77"/>
      <c r="C13" s="75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</row>
    <row r="14" spans="1:30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</row>
    <row r="15" spans="1:30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</row>
    <row r="16" spans="1:30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</row>
    <row r="17" spans="1:30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</row>
    <row r="18" spans="1:30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</row>
    <row r="19" spans="1:30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</row>
    <row r="20" spans="1:3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</row>
    <row r="21" spans="1:30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</row>
    <row r="22" spans="1:30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</row>
    <row r="23" spans="1:30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</row>
    <row r="24" spans="1:30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</row>
    <row r="25" spans="1:30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</row>
    <row r="26" spans="1:30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</row>
    <row r="27" spans="1:30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</row>
    <row r="28" spans="1:30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</row>
    <row r="29" spans="1:30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</row>
    <row r="30" spans="1: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</row>
    <row r="31" spans="1:30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</row>
    <row r="32" spans="1:30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</row>
    <row r="33" spans="1:30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</row>
    <row r="34" spans="1:30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'Traniees Name &amp; Package'!$B$3:$B$316</xm:f>
          </x14:formula1>
          <xm:sqref>A2:AD34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L998"/>
  <sheetViews>
    <sheetView tabSelected="1" topLeftCell="CG1" workbookViewId="0">
      <selection activeCell="CK19" sqref="CK19"/>
    </sheetView>
  </sheetViews>
  <sheetFormatPr defaultColWidth="12.5703125" defaultRowHeight="15.75" customHeight="1"/>
  <cols>
    <col min="1" max="1" width="8.7109375" customWidth="1"/>
    <col min="2" max="2" width="19.42578125" customWidth="1"/>
    <col min="4" max="4" width="8.5703125" customWidth="1"/>
    <col min="5" max="5" width="23" customWidth="1"/>
    <col min="7" max="7" width="12.28515625" customWidth="1"/>
    <col min="8" max="8" width="25.5703125" customWidth="1"/>
    <col min="9" max="9" width="9.42578125" customWidth="1"/>
    <col min="10" max="10" width="7.42578125" customWidth="1"/>
    <col min="11" max="11" width="21" customWidth="1"/>
    <col min="12" max="12" width="9.5703125" customWidth="1"/>
    <col min="13" max="13" width="9.85546875" customWidth="1"/>
    <col min="14" max="14" width="21" customWidth="1"/>
    <col min="15" max="15" width="9.85546875" customWidth="1"/>
    <col min="17" max="17" width="23.7109375" customWidth="1"/>
    <col min="20" max="20" width="19.140625" customWidth="1"/>
    <col min="21" max="22" width="12.7109375" customWidth="1"/>
    <col min="23" max="23" width="25.7109375" customWidth="1"/>
    <col min="24" max="25" width="12.7109375" customWidth="1"/>
    <col min="26" max="26" width="25.7109375" customWidth="1"/>
    <col min="27" max="28" width="12.7109375" customWidth="1"/>
    <col min="29" max="29" width="25.7109375" customWidth="1"/>
    <col min="30" max="31" width="12.7109375" customWidth="1"/>
    <col min="32" max="32" width="25.7109375" customWidth="1"/>
    <col min="33" max="34" width="12.7109375" customWidth="1"/>
    <col min="35" max="35" width="25.7109375" customWidth="1"/>
    <col min="36" max="36" width="12.7109375" customWidth="1"/>
    <col min="37" max="37" width="8.5703125" customWidth="1"/>
    <col min="38" max="38" width="25.42578125" customWidth="1"/>
    <col min="41" max="41" width="17.42578125" customWidth="1"/>
    <col min="43" max="43" width="12.7109375" customWidth="1"/>
    <col min="44" max="44" width="25.7109375" customWidth="1"/>
    <col min="45" max="46" width="12.7109375" customWidth="1"/>
    <col min="47" max="47" width="25.7109375" style="120" customWidth="1"/>
    <col min="48" max="49" width="12.7109375" customWidth="1"/>
    <col min="50" max="50" width="25.7109375" customWidth="1"/>
    <col min="51" max="52" width="12.7109375" customWidth="1"/>
    <col min="53" max="53" width="25.7109375" customWidth="1"/>
    <col min="54" max="55" width="12.7109375" customWidth="1"/>
    <col min="56" max="56" width="25.7109375" customWidth="1"/>
    <col min="57" max="58" width="12.7109375" customWidth="1"/>
    <col min="59" max="59" width="25.7109375" customWidth="1"/>
    <col min="60" max="61" width="12.7109375" customWidth="1"/>
    <col min="62" max="62" width="25.7109375" customWidth="1"/>
    <col min="63" max="64" width="12.7109375" customWidth="1"/>
    <col min="65" max="65" width="25.7109375" customWidth="1"/>
    <col min="66" max="67" width="12.7109375" customWidth="1"/>
    <col min="68" max="68" width="25.7109375" customWidth="1"/>
    <col min="69" max="70" width="12.7109375" customWidth="1"/>
    <col min="71" max="71" width="25.7109375" customWidth="1"/>
    <col min="72" max="73" width="12.7109375" customWidth="1"/>
    <col min="74" max="74" width="25.7109375" customWidth="1"/>
    <col min="75" max="76" width="12.7109375" customWidth="1"/>
    <col min="77" max="77" width="25.7109375" customWidth="1"/>
    <col min="78" max="79" width="12.7109375" customWidth="1"/>
    <col min="80" max="80" width="25.7109375" customWidth="1"/>
    <col min="81" max="82" width="12.7109375" customWidth="1"/>
    <col min="83" max="83" width="25.7109375" customWidth="1"/>
    <col min="84" max="85" width="12.7109375" customWidth="1"/>
    <col min="86" max="86" width="25.7109375" customWidth="1"/>
    <col min="87" max="88" width="12.7109375" customWidth="1"/>
    <col min="89" max="89" width="25.7109375" customWidth="1"/>
    <col min="90" max="90" width="12.7109375" customWidth="1"/>
  </cols>
  <sheetData>
    <row r="1" spans="1:90" ht="12.75">
      <c r="A1" s="161">
        <v>46174</v>
      </c>
      <c r="B1" s="162"/>
      <c r="C1" s="163"/>
      <c r="D1" s="161">
        <v>46175</v>
      </c>
      <c r="E1" s="162"/>
      <c r="F1" s="163"/>
      <c r="G1" s="161">
        <v>46176</v>
      </c>
      <c r="H1" s="162"/>
      <c r="I1" s="163"/>
      <c r="J1" s="161">
        <v>46177</v>
      </c>
      <c r="K1" s="162"/>
      <c r="L1" s="163"/>
      <c r="M1" s="161">
        <v>46178</v>
      </c>
      <c r="N1" s="162"/>
      <c r="O1" s="163"/>
      <c r="P1" s="161">
        <v>46179</v>
      </c>
      <c r="Q1" s="162"/>
      <c r="R1" s="163"/>
      <c r="S1" s="161">
        <v>46180</v>
      </c>
      <c r="T1" s="162"/>
      <c r="U1" s="163"/>
      <c r="V1" s="161">
        <v>46181</v>
      </c>
      <c r="W1" s="162"/>
      <c r="X1" s="163"/>
      <c r="Y1" s="161">
        <v>46182</v>
      </c>
      <c r="Z1" s="162"/>
      <c r="AA1" s="163"/>
      <c r="AB1" s="161">
        <v>46183</v>
      </c>
      <c r="AC1" s="162"/>
      <c r="AD1" s="163"/>
      <c r="AE1" s="161">
        <v>46184</v>
      </c>
      <c r="AF1" s="162"/>
      <c r="AG1" s="163"/>
      <c r="AH1" s="161">
        <v>46185</v>
      </c>
      <c r="AI1" s="162"/>
      <c r="AJ1" s="163"/>
      <c r="AK1" s="161">
        <v>46186</v>
      </c>
      <c r="AL1" s="162"/>
      <c r="AM1" s="163"/>
      <c r="AN1" s="161">
        <v>46187</v>
      </c>
      <c r="AO1" s="162"/>
      <c r="AP1" s="163"/>
      <c r="AQ1" s="161">
        <v>46188</v>
      </c>
      <c r="AR1" s="162"/>
      <c r="AS1" s="163"/>
      <c r="AT1" s="161">
        <v>46189</v>
      </c>
      <c r="AU1" s="162"/>
      <c r="AV1" s="163"/>
      <c r="AW1" s="161">
        <v>46190</v>
      </c>
      <c r="AX1" s="162"/>
      <c r="AY1" s="163"/>
      <c r="AZ1" s="161">
        <v>46191</v>
      </c>
      <c r="BA1" s="162"/>
      <c r="BB1" s="163"/>
      <c r="BC1" s="161">
        <v>46192</v>
      </c>
      <c r="BD1" s="162"/>
      <c r="BE1" s="163"/>
      <c r="BF1" s="161">
        <v>46193</v>
      </c>
      <c r="BG1" s="162"/>
      <c r="BH1" s="163"/>
      <c r="BI1" s="161">
        <v>46194</v>
      </c>
      <c r="BJ1" s="162"/>
      <c r="BK1" s="163"/>
      <c r="BL1" s="161">
        <v>46195</v>
      </c>
      <c r="BM1" s="162"/>
      <c r="BN1" s="163"/>
      <c r="BO1" s="161">
        <v>46196</v>
      </c>
      <c r="BP1" s="162"/>
      <c r="BQ1" s="163"/>
      <c r="BR1" s="161">
        <v>46197</v>
      </c>
      <c r="BS1" s="162"/>
      <c r="BT1" s="163"/>
      <c r="BU1" s="161">
        <v>46198</v>
      </c>
      <c r="BV1" s="162"/>
      <c r="BW1" s="163"/>
      <c r="BX1" s="161">
        <v>46199</v>
      </c>
      <c r="BY1" s="162"/>
      <c r="BZ1" s="163"/>
      <c r="CA1" s="161">
        <v>46200</v>
      </c>
      <c r="CB1" s="162"/>
      <c r="CC1" s="163"/>
      <c r="CD1" s="161">
        <v>46201</v>
      </c>
      <c r="CE1" s="162"/>
      <c r="CF1" s="163"/>
      <c r="CG1" s="161">
        <v>46202</v>
      </c>
      <c r="CH1" s="162"/>
      <c r="CI1" s="163"/>
      <c r="CJ1" s="161">
        <v>46203</v>
      </c>
      <c r="CK1" s="162"/>
      <c r="CL1" s="163"/>
    </row>
    <row r="2" spans="1:90" ht="12.75">
      <c r="A2" s="74"/>
      <c r="B2" s="75"/>
      <c r="C2" s="76"/>
      <c r="D2" s="75"/>
      <c r="E2" s="77" t="s">
        <v>119</v>
      </c>
      <c r="F2" s="76" t="s">
        <v>1</v>
      </c>
      <c r="G2" s="74"/>
      <c r="H2" s="75" t="s">
        <v>101</v>
      </c>
      <c r="I2" s="76" t="s">
        <v>1</v>
      </c>
      <c r="J2" s="75"/>
      <c r="K2" s="77" t="s">
        <v>101</v>
      </c>
      <c r="L2" s="76" t="s">
        <v>1</v>
      </c>
      <c r="M2" s="75"/>
      <c r="N2" s="77"/>
      <c r="O2" s="76"/>
      <c r="P2" s="75"/>
      <c r="Q2" s="75" t="s">
        <v>101</v>
      </c>
      <c r="R2" s="76" t="s">
        <v>1</v>
      </c>
      <c r="S2" s="75"/>
      <c r="T2" s="77" t="s">
        <v>101</v>
      </c>
      <c r="U2" s="76" t="s">
        <v>1</v>
      </c>
      <c r="V2" s="75"/>
      <c r="W2" s="75" t="s">
        <v>119</v>
      </c>
      <c r="X2" s="76" t="s">
        <v>1</v>
      </c>
      <c r="Y2" s="75"/>
      <c r="Z2" s="75" t="s">
        <v>93</v>
      </c>
      <c r="AA2" s="76" t="s">
        <v>1</v>
      </c>
      <c r="AB2" s="75"/>
      <c r="AC2" s="75" t="s">
        <v>101</v>
      </c>
      <c r="AD2" s="76" t="s">
        <v>1</v>
      </c>
      <c r="AE2" s="75"/>
      <c r="AF2" s="75" t="s">
        <v>93</v>
      </c>
      <c r="AG2" s="76" t="s">
        <v>1</v>
      </c>
      <c r="AH2" s="75"/>
      <c r="AI2" s="75"/>
      <c r="AJ2" s="76"/>
      <c r="AK2" s="74"/>
      <c r="AL2" s="75" t="s">
        <v>101</v>
      </c>
      <c r="AM2" s="76" t="s">
        <v>1</v>
      </c>
      <c r="AN2" s="75"/>
      <c r="AO2" s="75" t="s">
        <v>101</v>
      </c>
      <c r="AP2" s="76" t="s">
        <v>1</v>
      </c>
      <c r="AQ2" s="75"/>
      <c r="AR2" s="75" t="s">
        <v>119</v>
      </c>
      <c r="AS2" s="76" t="s">
        <v>1</v>
      </c>
      <c r="AT2" s="75"/>
      <c r="AU2" s="117" t="s">
        <v>99</v>
      </c>
      <c r="AV2" s="76" t="s">
        <v>1</v>
      </c>
      <c r="AW2" s="75"/>
      <c r="AX2" s="75" t="s">
        <v>101</v>
      </c>
      <c r="AY2" s="76" t="s">
        <v>1</v>
      </c>
      <c r="AZ2" s="75"/>
      <c r="BA2" s="75" t="s">
        <v>97</v>
      </c>
      <c r="BB2" s="76" t="s">
        <v>1</v>
      </c>
      <c r="BC2" s="75"/>
      <c r="BD2" s="75"/>
      <c r="BE2" s="76"/>
      <c r="BF2" s="75"/>
      <c r="BG2" s="75" t="s">
        <v>101</v>
      </c>
      <c r="BH2" s="76" t="s">
        <v>1</v>
      </c>
      <c r="BI2" s="75"/>
      <c r="BJ2" s="75"/>
      <c r="BK2" s="76"/>
      <c r="BL2" s="75"/>
      <c r="BM2" s="75" t="s">
        <v>101</v>
      </c>
      <c r="BN2" s="76" t="s">
        <v>1</v>
      </c>
      <c r="BO2" s="75"/>
      <c r="BP2" s="75" t="s">
        <v>97</v>
      </c>
      <c r="BQ2" s="76" t="s">
        <v>1</v>
      </c>
      <c r="BR2" s="75"/>
      <c r="BS2" s="75" t="s">
        <v>101</v>
      </c>
      <c r="BT2" s="76" t="s">
        <v>1</v>
      </c>
      <c r="BU2" s="75"/>
      <c r="BV2" s="75" t="s">
        <v>101</v>
      </c>
      <c r="BW2" s="76" t="s">
        <v>1</v>
      </c>
      <c r="BX2" s="75"/>
      <c r="BY2" s="75"/>
      <c r="BZ2" s="76"/>
      <c r="CA2" s="75"/>
      <c r="CB2" s="75" t="s">
        <v>99</v>
      </c>
      <c r="CC2" s="76" t="s">
        <v>1</v>
      </c>
      <c r="CD2" s="75"/>
      <c r="CE2" s="75" t="s">
        <v>101</v>
      </c>
      <c r="CF2" s="76" t="s">
        <v>1</v>
      </c>
      <c r="CG2" s="75"/>
      <c r="CH2" s="75" t="s">
        <v>101</v>
      </c>
      <c r="CI2" s="76" t="s">
        <v>1</v>
      </c>
      <c r="CJ2" s="75"/>
      <c r="CK2" s="75" t="s">
        <v>119</v>
      </c>
      <c r="CL2" s="76" t="s">
        <v>1</v>
      </c>
    </row>
    <row r="3" spans="1:90" ht="12.75">
      <c r="A3" s="100"/>
      <c r="B3" s="75"/>
      <c r="C3" s="76"/>
      <c r="D3" s="75"/>
      <c r="E3" s="77" t="s">
        <v>93</v>
      </c>
      <c r="F3" s="76" t="s">
        <v>1</v>
      </c>
      <c r="G3" s="74"/>
      <c r="H3" s="75" t="s">
        <v>119</v>
      </c>
      <c r="I3" s="76" t="s">
        <v>1</v>
      </c>
      <c r="J3" s="75"/>
      <c r="K3" s="77" t="s">
        <v>97</v>
      </c>
      <c r="L3" s="76" t="s">
        <v>1</v>
      </c>
      <c r="M3" s="75"/>
      <c r="N3" s="77"/>
      <c r="O3" s="76"/>
      <c r="P3" s="75"/>
      <c r="Q3" s="75" t="s">
        <v>93</v>
      </c>
      <c r="R3" s="76" t="s">
        <v>1</v>
      </c>
      <c r="S3" s="75"/>
      <c r="T3" s="77" t="s">
        <v>97</v>
      </c>
      <c r="U3" s="76" t="s">
        <v>1</v>
      </c>
      <c r="V3" s="75"/>
      <c r="W3" s="75" t="s">
        <v>603</v>
      </c>
      <c r="X3" s="76" t="s">
        <v>19</v>
      </c>
      <c r="Y3" s="75"/>
      <c r="Z3" s="75" t="s">
        <v>99</v>
      </c>
      <c r="AA3" s="76" t="s">
        <v>1</v>
      </c>
      <c r="AB3" s="75"/>
      <c r="AC3" s="75" t="s">
        <v>119</v>
      </c>
      <c r="AD3" s="76" t="s">
        <v>1</v>
      </c>
      <c r="AE3" s="75"/>
      <c r="AF3" s="75" t="s">
        <v>97</v>
      </c>
      <c r="AG3" s="76" t="s">
        <v>1</v>
      </c>
      <c r="AH3" s="75"/>
      <c r="AI3" s="75"/>
      <c r="AJ3" s="76"/>
      <c r="AK3" s="74"/>
      <c r="AL3" s="75" t="s">
        <v>97</v>
      </c>
      <c r="AM3" s="76" t="s">
        <v>1</v>
      </c>
      <c r="AN3" s="75"/>
      <c r="AO3" s="75" t="s">
        <v>97</v>
      </c>
      <c r="AP3" s="76" t="s">
        <v>1</v>
      </c>
      <c r="AQ3" s="75"/>
      <c r="AR3" s="75" t="s">
        <v>626</v>
      </c>
      <c r="AS3" s="76" t="s">
        <v>19</v>
      </c>
      <c r="AT3" s="75"/>
      <c r="AU3" s="117" t="s">
        <v>119</v>
      </c>
      <c r="AV3" s="76" t="s">
        <v>1</v>
      </c>
      <c r="AW3" s="75"/>
      <c r="AX3" s="75" t="s">
        <v>119</v>
      </c>
      <c r="AY3" s="76" t="s">
        <v>1</v>
      </c>
      <c r="AZ3" s="75"/>
      <c r="BA3" s="75" t="s">
        <v>93</v>
      </c>
      <c r="BB3" s="76" t="s">
        <v>1</v>
      </c>
      <c r="BC3" s="75"/>
      <c r="BD3" s="75"/>
      <c r="BE3" s="76"/>
      <c r="BF3" s="75"/>
      <c r="BG3" s="75" t="s">
        <v>93</v>
      </c>
      <c r="BH3" s="76" t="s">
        <v>1</v>
      </c>
      <c r="BI3" s="75"/>
      <c r="BJ3" s="75"/>
      <c r="BK3" s="76"/>
      <c r="BL3" s="75"/>
      <c r="BM3" s="75" t="s">
        <v>97</v>
      </c>
      <c r="BN3" s="76" t="s">
        <v>1</v>
      </c>
      <c r="BO3" s="75"/>
      <c r="BP3" s="75" t="s">
        <v>119</v>
      </c>
      <c r="BQ3" s="76" t="s">
        <v>1</v>
      </c>
      <c r="BR3" s="75"/>
      <c r="BS3" s="75" t="s">
        <v>119</v>
      </c>
      <c r="BT3" s="76" t="s">
        <v>1</v>
      </c>
      <c r="BU3" s="75"/>
      <c r="BV3" s="75" t="s">
        <v>99</v>
      </c>
      <c r="BW3" s="76" t="s">
        <v>1</v>
      </c>
      <c r="BX3" s="75"/>
      <c r="BY3" s="75"/>
      <c r="BZ3" s="76"/>
      <c r="CA3" s="75"/>
      <c r="CB3" s="75" t="s">
        <v>97</v>
      </c>
      <c r="CC3" s="76" t="s">
        <v>1</v>
      </c>
      <c r="CD3" s="75"/>
      <c r="CE3" s="75" t="s">
        <v>93</v>
      </c>
      <c r="CF3" s="76" t="s">
        <v>1</v>
      </c>
      <c r="CG3" s="75"/>
      <c r="CH3" s="75" t="s">
        <v>674</v>
      </c>
      <c r="CI3" s="76" t="s">
        <v>15</v>
      </c>
      <c r="CJ3" s="75"/>
      <c r="CK3" s="75" t="s">
        <v>99</v>
      </c>
      <c r="CL3" s="76" t="s">
        <v>1</v>
      </c>
    </row>
    <row r="4" spans="1:90" ht="12.75">
      <c r="A4" s="100"/>
      <c r="B4" s="75"/>
      <c r="C4" s="76"/>
      <c r="D4" s="75"/>
      <c r="E4" s="77" t="s">
        <v>697</v>
      </c>
      <c r="F4" s="76" t="s">
        <v>19</v>
      </c>
      <c r="G4" s="74"/>
      <c r="H4" s="75" t="s">
        <v>674</v>
      </c>
      <c r="I4" s="76" t="s">
        <v>15</v>
      </c>
      <c r="J4" s="75"/>
      <c r="K4" s="77" t="s">
        <v>93</v>
      </c>
      <c r="L4" s="76" t="s">
        <v>1</v>
      </c>
      <c r="M4" s="75"/>
      <c r="N4" s="77"/>
      <c r="O4" s="76"/>
      <c r="P4" s="75"/>
      <c r="Q4" s="75" t="s">
        <v>119</v>
      </c>
      <c r="R4" s="76" t="s">
        <v>1</v>
      </c>
      <c r="S4" s="75"/>
      <c r="T4" s="77" t="s">
        <v>480</v>
      </c>
      <c r="U4" s="76" t="s">
        <v>25</v>
      </c>
      <c r="V4" s="75"/>
      <c r="W4" s="75" t="s">
        <v>604</v>
      </c>
      <c r="X4" s="76" t="s">
        <v>19</v>
      </c>
      <c r="Y4" s="75"/>
      <c r="Z4" s="75" t="s">
        <v>119</v>
      </c>
      <c r="AA4" s="76" t="s">
        <v>1</v>
      </c>
      <c r="AB4" s="75"/>
      <c r="AC4" s="75" t="s">
        <v>626</v>
      </c>
      <c r="AD4" s="76" t="s">
        <v>19</v>
      </c>
      <c r="AE4" s="75"/>
      <c r="AF4" s="75" t="s">
        <v>480</v>
      </c>
      <c r="AG4" s="76" t="s">
        <v>25</v>
      </c>
      <c r="AH4" s="75"/>
      <c r="AI4" s="75"/>
      <c r="AJ4" s="76"/>
      <c r="AK4" s="74"/>
      <c r="AL4" s="75" t="s">
        <v>119</v>
      </c>
      <c r="AM4" s="76" t="s">
        <v>1</v>
      </c>
      <c r="AN4" s="75"/>
      <c r="AO4" s="75" t="s">
        <v>480</v>
      </c>
      <c r="AP4" s="76" t="s">
        <v>25</v>
      </c>
      <c r="AQ4" s="75"/>
      <c r="AR4" s="75" t="s">
        <v>579</v>
      </c>
      <c r="AS4" s="76" t="s">
        <v>19</v>
      </c>
      <c r="AT4" s="75"/>
      <c r="AU4" s="117" t="s">
        <v>178</v>
      </c>
      <c r="AV4" s="76" t="s">
        <v>29</v>
      </c>
      <c r="AW4" s="75"/>
      <c r="AX4" s="75" t="s">
        <v>626</v>
      </c>
      <c r="AY4" s="76" t="s">
        <v>19</v>
      </c>
      <c r="AZ4" s="75"/>
      <c r="BA4" s="75" t="s">
        <v>147</v>
      </c>
      <c r="BB4" s="76" t="s">
        <v>25</v>
      </c>
      <c r="BC4" s="75"/>
      <c r="BD4" s="75"/>
      <c r="BE4" s="76"/>
      <c r="BF4" s="75"/>
      <c r="BG4" s="75" t="s">
        <v>97</v>
      </c>
      <c r="BH4" s="76" t="s">
        <v>1</v>
      </c>
      <c r="BI4" s="75"/>
      <c r="BJ4" s="75"/>
      <c r="BK4" s="76"/>
      <c r="BL4" s="75"/>
      <c r="BM4" s="75" t="s">
        <v>538</v>
      </c>
      <c r="BN4" s="76" t="s">
        <v>25</v>
      </c>
      <c r="BO4" s="75"/>
      <c r="BP4" s="75" t="s">
        <v>93</v>
      </c>
      <c r="BQ4" s="76" t="s">
        <v>1</v>
      </c>
      <c r="BR4" s="75"/>
      <c r="BS4" s="75" t="s">
        <v>626</v>
      </c>
      <c r="BT4" s="76" t="s">
        <v>19</v>
      </c>
      <c r="BU4" s="75" t="s">
        <v>725</v>
      </c>
      <c r="BV4" s="75"/>
      <c r="BW4" s="76" t="s">
        <v>29</v>
      </c>
      <c r="BX4" s="75"/>
      <c r="BY4" s="75"/>
      <c r="BZ4" s="76"/>
      <c r="CA4" s="75"/>
      <c r="CB4" s="75" t="s">
        <v>119</v>
      </c>
      <c r="CC4" s="76" t="s">
        <v>1</v>
      </c>
      <c r="CD4" s="75"/>
      <c r="CE4" s="75" t="s">
        <v>97</v>
      </c>
      <c r="CF4" s="76" t="s">
        <v>1</v>
      </c>
      <c r="CG4" s="75"/>
      <c r="CH4" s="75" t="s">
        <v>672</v>
      </c>
      <c r="CI4" s="76" t="s">
        <v>15</v>
      </c>
      <c r="CJ4" s="75"/>
      <c r="CK4" s="75" t="s">
        <v>93</v>
      </c>
      <c r="CL4" s="76" t="s">
        <v>1</v>
      </c>
    </row>
    <row r="5" spans="1:90" ht="12.75">
      <c r="A5" s="100"/>
      <c r="B5" s="75"/>
      <c r="C5" s="76"/>
      <c r="D5" s="75"/>
      <c r="E5" s="77" t="s">
        <v>603</v>
      </c>
      <c r="F5" s="76" t="s">
        <v>19</v>
      </c>
      <c r="G5" s="74"/>
      <c r="H5" s="75" t="s">
        <v>672</v>
      </c>
      <c r="I5" s="76" t="s">
        <v>15</v>
      </c>
      <c r="J5" s="75"/>
      <c r="K5" s="77" t="s">
        <v>581</v>
      </c>
      <c r="L5" s="76" t="s">
        <v>21</v>
      </c>
      <c r="M5" s="75"/>
      <c r="N5" s="77"/>
      <c r="O5" s="76"/>
      <c r="P5" s="75"/>
      <c r="Q5" s="75" t="s">
        <v>99</v>
      </c>
      <c r="R5" s="76" t="s">
        <v>1</v>
      </c>
      <c r="S5" s="75"/>
      <c r="T5" s="77" t="s">
        <v>480</v>
      </c>
      <c r="U5" s="76" t="s">
        <v>25</v>
      </c>
      <c r="V5" s="75"/>
      <c r="W5" s="75" t="s">
        <v>697</v>
      </c>
      <c r="X5" s="76" t="s">
        <v>19</v>
      </c>
      <c r="Y5" s="101"/>
      <c r="Z5" s="75" t="s">
        <v>330</v>
      </c>
      <c r="AA5" s="76" t="s">
        <v>29</v>
      </c>
      <c r="AB5" s="75"/>
      <c r="AC5" s="75" t="s">
        <v>453</v>
      </c>
      <c r="AD5" s="76" t="s">
        <v>19</v>
      </c>
      <c r="AE5" s="75"/>
      <c r="AF5" s="75" t="s">
        <v>480</v>
      </c>
      <c r="AG5" s="76" t="s">
        <v>25</v>
      </c>
      <c r="AH5" s="75"/>
      <c r="AI5" s="75"/>
      <c r="AJ5" s="76"/>
      <c r="AK5" s="74"/>
      <c r="AL5" s="75" t="s">
        <v>93</v>
      </c>
      <c r="AM5" s="76" t="s">
        <v>1</v>
      </c>
      <c r="AN5" s="75"/>
      <c r="AO5" s="75" t="s">
        <v>262</v>
      </c>
      <c r="AP5" s="76" t="s">
        <v>25</v>
      </c>
      <c r="AQ5" s="75"/>
      <c r="AR5" s="75" t="s">
        <v>697</v>
      </c>
      <c r="AS5" s="76" t="s">
        <v>19</v>
      </c>
      <c r="AT5" s="75"/>
      <c r="AU5" s="117" t="s">
        <v>176</v>
      </c>
      <c r="AV5" s="76" t="s">
        <v>29</v>
      </c>
      <c r="AW5" s="75"/>
      <c r="AX5" s="75" t="s">
        <v>453</v>
      </c>
      <c r="AY5" s="76" t="s">
        <v>19</v>
      </c>
      <c r="AZ5" s="75"/>
      <c r="BA5" s="75" t="s">
        <v>232</v>
      </c>
      <c r="BB5" s="76" t="s">
        <v>25</v>
      </c>
      <c r="BC5" s="75"/>
      <c r="BD5" s="75"/>
      <c r="BE5" s="76"/>
      <c r="BF5" s="75"/>
      <c r="BG5" s="75" t="s">
        <v>119</v>
      </c>
      <c r="BH5" s="76" t="s">
        <v>1</v>
      </c>
      <c r="BI5" s="75"/>
      <c r="BJ5" s="75"/>
      <c r="BK5" s="76"/>
      <c r="BL5" s="75"/>
      <c r="BM5" s="75" t="s">
        <v>480</v>
      </c>
      <c r="BN5" s="76" t="s">
        <v>25</v>
      </c>
      <c r="BO5" s="75"/>
      <c r="BP5" s="75" t="s">
        <v>143</v>
      </c>
      <c r="BQ5" s="76" t="s">
        <v>25</v>
      </c>
      <c r="BR5" s="75"/>
      <c r="BS5" s="75" t="s">
        <v>571</v>
      </c>
      <c r="BT5" s="76" t="s">
        <v>19</v>
      </c>
      <c r="BU5" s="75" t="s">
        <v>728</v>
      </c>
      <c r="BV5" s="75"/>
      <c r="BW5" s="76" t="s">
        <v>29</v>
      </c>
      <c r="BX5" s="75"/>
      <c r="BY5" s="75"/>
      <c r="BZ5" s="76"/>
      <c r="CA5" s="75"/>
      <c r="CB5" s="75" t="s">
        <v>316</v>
      </c>
      <c r="CC5" s="76" t="s">
        <v>29</v>
      </c>
      <c r="CD5" s="75"/>
      <c r="CE5" s="75" t="s">
        <v>115</v>
      </c>
      <c r="CF5" s="76" t="s">
        <v>25</v>
      </c>
      <c r="CG5" s="75"/>
      <c r="CH5" s="75" t="s">
        <v>559</v>
      </c>
      <c r="CI5" s="76" t="s">
        <v>15</v>
      </c>
      <c r="CJ5" s="75"/>
      <c r="CK5" s="75" t="s">
        <v>697</v>
      </c>
      <c r="CL5" s="76" t="s">
        <v>19</v>
      </c>
    </row>
    <row r="6" spans="1:90" ht="12.75">
      <c r="A6" s="100"/>
      <c r="B6" s="75"/>
      <c r="C6" s="76"/>
      <c r="D6" s="75"/>
      <c r="E6" s="77" t="s">
        <v>604</v>
      </c>
      <c r="F6" s="76" t="s">
        <v>19</v>
      </c>
      <c r="G6" s="74"/>
      <c r="H6" s="75" t="s">
        <v>567</v>
      </c>
      <c r="I6" s="76" t="s">
        <v>15</v>
      </c>
      <c r="J6" s="75"/>
      <c r="K6" s="77" t="s">
        <v>581</v>
      </c>
      <c r="L6" s="76" t="s">
        <v>21</v>
      </c>
      <c r="M6" s="75"/>
      <c r="N6" s="77"/>
      <c r="O6" s="76"/>
      <c r="P6" s="75"/>
      <c r="Q6" s="75" t="s">
        <v>135</v>
      </c>
      <c r="R6" s="76" t="s">
        <v>1</v>
      </c>
      <c r="S6" s="75"/>
      <c r="T6" s="77" t="s">
        <v>538</v>
      </c>
      <c r="U6" s="76" t="s">
        <v>25</v>
      </c>
      <c r="V6" s="75"/>
      <c r="W6" s="75" t="s">
        <v>328</v>
      </c>
      <c r="X6" s="76" t="s">
        <v>19</v>
      </c>
      <c r="Y6" s="101"/>
      <c r="Z6" s="75" t="s">
        <v>178</v>
      </c>
      <c r="AA6" s="76" t="s">
        <v>29</v>
      </c>
      <c r="AB6" s="75"/>
      <c r="AC6" s="75" t="s">
        <v>607</v>
      </c>
      <c r="AD6" s="76" t="s">
        <v>19</v>
      </c>
      <c r="AE6" s="75"/>
      <c r="AF6" s="75" t="s">
        <v>147</v>
      </c>
      <c r="AG6" s="76" t="s">
        <v>25</v>
      </c>
      <c r="AH6" s="75"/>
      <c r="AI6" s="75"/>
      <c r="AJ6" s="76"/>
      <c r="AK6" s="74"/>
      <c r="AL6" s="75" t="s">
        <v>99</v>
      </c>
      <c r="AM6" s="76" t="s">
        <v>1</v>
      </c>
      <c r="AN6" s="75"/>
      <c r="AO6" s="75" t="s">
        <v>515</v>
      </c>
      <c r="AP6" s="76" t="s">
        <v>15</v>
      </c>
      <c r="AQ6" s="75"/>
      <c r="AR6" s="75"/>
      <c r="AS6" s="76"/>
      <c r="AT6" s="75"/>
      <c r="AU6" s="117" t="s">
        <v>316</v>
      </c>
      <c r="AV6" s="76" t="s">
        <v>29</v>
      </c>
      <c r="AW6" s="75"/>
      <c r="AX6" s="75" t="s">
        <v>607</v>
      </c>
      <c r="AY6" s="76" t="s">
        <v>19</v>
      </c>
      <c r="AZ6" s="75"/>
      <c r="BA6" s="75" t="s">
        <v>538</v>
      </c>
      <c r="BB6" s="76" t="s">
        <v>25</v>
      </c>
      <c r="BC6" s="75"/>
      <c r="BD6" s="75"/>
      <c r="BE6" s="76"/>
      <c r="BF6" s="75"/>
      <c r="BG6" s="75" t="s">
        <v>554</v>
      </c>
      <c r="BH6" s="76" t="s">
        <v>21</v>
      </c>
      <c r="BI6" s="75"/>
      <c r="BJ6" s="75"/>
      <c r="BK6" s="76"/>
      <c r="BL6" s="75"/>
      <c r="BM6" s="75" t="s">
        <v>674</v>
      </c>
      <c r="BN6" s="76" t="s">
        <v>15</v>
      </c>
      <c r="BO6" s="75"/>
      <c r="BP6" s="75" t="s">
        <v>480</v>
      </c>
      <c r="BQ6" s="76" t="s">
        <v>25</v>
      </c>
      <c r="BR6" s="75"/>
      <c r="BS6" s="75" t="s">
        <v>607</v>
      </c>
      <c r="BT6" s="76" t="s">
        <v>19</v>
      </c>
      <c r="BU6" s="75"/>
      <c r="BV6" s="75" t="s">
        <v>559</v>
      </c>
      <c r="BW6" s="76" t="s">
        <v>15</v>
      </c>
      <c r="BX6" s="75"/>
      <c r="BY6" s="75"/>
      <c r="BZ6" s="76"/>
      <c r="CA6" s="75"/>
      <c r="CB6" s="75" t="s">
        <v>452</v>
      </c>
      <c r="CC6" s="76" t="s">
        <v>29</v>
      </c>
      <c r="CD6" s="75"/>
      <c r="CE6" s="75" t="s">
        <v>538</v>
      </c>
      <c r="CF6" s="76" t="s">
        <v>25</v>
      </c>
      <c r="CG6" s="75"/>
      <c r="CH6" s="75" t="s">
        <v>704</v>
      </c>
      <c r="CI6" s="76" t="s">
        <v>15</v>
      </c>
      <c r="CJ6" s="75"/>
      <c r="CK6" s="75" t="s">
        <v>572</v>
      </c>
      <c r="CL6" s="76" t="s">
        <v>19</v>
      </c>
    </row>
    <row r="7" spans="1:90" ht="12.75">
      <c r="A7" s="100"/>
      <c r="B7" s="75"/>
      <c r="C7" s="76"/>
      <c r="D7" s="75"/>
      <c r="E7" s="77" t="s">
        <v>341</v>
      </c>
      <c r="F7" s="76" t="s">
        <v>19</v>
      </c>
      <c r="G7" s="74"/>
      <c r="H7" s="75" t="s">
        <v>567</v>
      </c>
      <c r="I7" s="76" t="s">
        <v>15</v>
      </c>
      <c r="J7" s="75"/>
      <c r="K7" s="77" t="s">
        <v>580</v>
      </c>
      <c r="L7" s="76" t="s">
        <v>21</v>
      </c>
      <c r="M7" s="75"/>
      <c r="N7" s="77"/>
      <c r="O7" s="76"/>
      <c r="P7" s="75"/>
      <c r="Q7" s="75" t="s">
        <v>350</v>
      </c>
      <c r="R7" s="76" t="s">
        <v>21</v>
      </c>
      <c r="S7" s="75"/>
      <c r="T7" s="77" t="s">
        <v>515</v>
      </c>
      <c r="U7" s="76" t="s">
        <v>15</v>
      </c>
      <c r="V7" s="75"/>
      <c r="W7" s="75"/>
      <c r="X7" s="76"/>
      <c r="Y7" s="75"/>
      <c r="Z7" s="75" t="s">
        <v>176</v>
      </c>
      <c r="AA7" s="76" t="s">
        <v>29</v>
      </c>
      <c r="AB7" s="75"/>
      <c r="AC7" s="75" t="s">
        <v>607</v>
      </c>
      <c r="AD7" s="76" t="s">
        <v>19</v>
      </c>
      <c r="AE7" s="75"/>
      <c r="AF7" s="75" t="s">
        <v>147</v>
      </c>
      <c r="AG7" s="76" t="s">
        <v>25</v>
      </c>
      <c r="AH7" s="75"/>
      <c r="AI7" s="75"/>
      <c r="AJ7" s="76"/>
      <c r="AK7" s="74"/>
      <c r="AL7" s="75" t="s">
        <v>232</v>
      </c>
      <c r="AM7" s="76" t="s">
        <v>25</v>
      </c>
      <c r="AN7" s="75"/>
      <c r="AO7" s="75" t="s">
        <v>608</v>
      </c>
      <c r="AP7" s="76" t="s">
        <v>15</v>
      </c>
      <c r="AQ7" s="75"/>
      <c r="AR7" s="75"/>
      <c r="AS7" s="76"/>
      <c r="AT7" s="75"/>
      <c r="AU7" s="117" t="s">
        <v>330</v>
      </c>
      <c r="AV7" s="76" t="s">
        <v>29</v>
      </c>
      <c r="AW7" s="75"/>
      <c r="AX7" s="75" t="s">
        <v>606</v>
      </c>
      <c r="AY7" s="76" t="s">
        <v>19</v>
      </c>
      <c r="AZ7" s="75"/>
      <c r="BA7" s="75" t="s">
        <v>396</v>
      </c>
      <c r="BB7" s="76" t="s">
        <v>25</v>
      </c>
      <c r="BC7" s="75"/>
      <c r="BD7" s="75"/>
      <c r="BE7" s="76"/>
      <c r="BF7" s="75"/>
      <c r="BG7" s="75" t="s">
        <v>404</v>
      </c>
      <c r="BH7" s="76" t="s">
        <v>21</v>
      </c>
      <c r="BI7" s="75"/>
      <c r="BJ7" s="75"/>
      <c r="BK7" s="76"/>
      <c r="BL7" s="75"/>
      <c r="BM7" s="75" t="s">
        <v>672</v>
      </c>
      <c r="BN7" s="76" t="s">
        <v>15</v>
      </c>
      <c r="BO7" s="75"/>
      <c r="BP7" s="75" t="s">
        <v>329</v>
      </c>
      <c r="BQ7" s="76" t="s">
        <v>19</v>
      </c>
      <c r="BR7" s="75"/>
      <c r="BS7" s="75" t="s">
        <v>453</v>
      </c>
      <c r="BT7" s="76" t="s">
        <v>19</v>
      </c>
      <c r="BU7" s="75"/>
      <c r="BV7" s="75" t="s">
        <v>706</v>
      </c>
      <c r="BW7" s="76" t="s">
        <v>15</v>
      </c>
      <c r="BX7" s="75"/>
      <c r="BY7" s="75"/>
      <c r="BZ7" s="76"/>
      <c r="CA7" s="75"/>
      <c r="CB7" s="75" t="s">
        <v>147</v>
      </c>
      <c r="CC7" s="76" t="s">
        <v>25</v>
      </c>
      <c r="CD7" s="75"/>
      <c r="CE7" s="75" t="s">
        <v>480</v>
      </c>
      <c r="CF7" s="76" t="s">
        <v>25</v>
      </c>
      <c r="CG7" s="75"/>
      <c r="CH7" s="75" t="s">
        <v>570</v>
      </c>
      <c r="CI7" s="76" t="s">
        <v>15</v>
      </c>
      <c r="CJ7" s="75"/>
      <c r="CK7" s="75" t="s">
        <v>178</v>
      </c>
      <c r="CL7" s="76" t="s">
        <v>29</v>
      </c>
    </row>
    <row r="8" spans="1:90" ht="12.75">
      <c r="A8" s="74"/>
      <c r="B8" s="75"/>
      <c r="C8" s="76"/>
      <c r="D8" s="75"/>
      <c r="E8" s="77" t="s">
        <v>661</v>
      </c>
      <c r="F8" s="76" t="s">
        <v>21</v>
      </c>
      <c r="G8" s="74"/>
      <c r="H8" s="75" t="s">
        <v>608</v>
      </c>
      <c r="I8" s="76" t="s">
        <v>15</v>
      </c>
      <c r="J8" s="75"/>
      <c r="K8" s="77" t="s">
        <v>580</v>
      </c>
      <c r="L8" s="76" t="s">
        <v>21</v>
      </c>
      <c r="M8" s="75"/>
      <c r="N8" s="77"/>
      <c r="O8" s="76"/>
      <c r="P8" s="75"/>
      <c r="Q8" s="75" t="s">
        <v>397</v>
      </c>
      <c r="R8" s="76" t="s">
        <v>21</v>
      </c>
      <c r="S8" s="75"/>
      <c r="T8" s="77" t="s">
        <v>674</v>
      </c>
      <c r="U8" s="76" t="s">
        <v>15</v>
      </c>
      <c r="V8" s="75"/>
      <c r="W8" s="75"/>
      <c r="X8" s="76"/>
      <c r="Y8" s="101"/>
      <c r="Z8" s="75" t="s">
        <v>661</v>
      </c>
      <c r="AA8" s="76" t="s">
        <v>21</v>
      </c>
      <c r="AB8" s="75"/>
      <c r="AC8" s="75" t="s">
        <v>606</v>
      </c>
      <c r="AD8" s="76" t="s">
        <v>19</v>
      </c>
      <c r="AE8" s="75"/>
      <c r="AF8" s="75" t="s">
        <v>396</v>
      </c>
      <c r="AG8" s="76" t="s">
        <v>25</v>
      </c>
      <c r="AH8" s="75"/>
      <c r="AI8" s="75"/>
      <c r="AJ8" s="76"/>
      <c r="AK8" s="100"/>
      <c r="AL8" s="77" t="s">
        <v>232</v>
      </c>
      <c r="AM8" s="76" t="s">
        <v>25</v>
      </c>
      <c r="AN8" s="75"/>
      <c r="AO8" s="75" t="s">
        <v>704</v>
      </c>
      <c r="AP8" s="76" t="s">
        <v>15</v>
      </c>
      <c r="AQ8" s="75"/>
      <c r="AR8" s="75"/>
      <c r="AS8" s="76"/>
      <c r="AT8" s="75"/>
      <c r="AU8" s="117" t="s">
        <v>210</v>
      </c>
      <c r="AV8" s="76" t="s">
        <v>19</v>
      </c>
      <c r="AW8" s="75"/>
      <c r="AX8" s="75" t="s">
        <v>329</v>
      </c>
      <c r="AY8" s="76" t="s">
        <v>19</v>
      </c>
      <c r="AZ8" s="75"/>
      <c r="BA8" s="75" t="s">
        <v>661</v>
      </c>
      <c r="BB8" s="76" t="s">
        <v>21</v>
      </c>
      <c r="BC8" s="75"/>
      <c r="BD8" s="75"/>
      <c r="BE8" s="76"/>
      <c r="BF8" s="75"/>
      <c r="BG8" s="75" t="s">
        <v>259</v>
      </c>
      <c r="BH8" s="76" t="s">
        <v>21</v>
      </c>
      <c r="BI8" s="75"/>
      <c r="BJ8" s="75"/>
      <c r="BK8" s="76"/>
      <c r="BL8" s="75"/>
      <c r="BM8" s="75" t="s">
        <v>567</v>
      </c>
      <c r="BN8" s="76" t="s">
        <v>15</v>
      </c>
      <c r="BO8" s="75"/>
      <c r="BP8" s="75" t="s">
        <v>697</v>
      </c>
      <c r="BQ8" s="76" t="s">
        <v>19</v>
      </c>
      <c r="BR8" s="75"/>
      <c r="BS8" s="75" t="s">
        <v>277</v>
      </c>
      <c r="BT8" s="76" t="s">
        <v>19</v>
      </c>
      <c r="BU8" s="75"/>
      <c r="BV8" s="75" t="s">
        <v>230</v>
      </c>
      <c r="BW8" s="76" t="s">
        <v>15</v>
      </c>
      <c r="BX8" s="75"/>
      <c r="BY8" s="75"/>
      <c r="BZ8" s="76"/>
      <c r="CA8" s="75"/>
      <c r="CB8" s="75" t="s">
        <v>538</v>
      </c>
      <c r="CC8" s="76" t="s">
        <v>25</v>
      </c>
      <c r="CD8" s="75"/>
      <c r="CE8" s="75" t="s">
        <v>544</v>
      </c>
      <c r="CF8" s="76" t="s">
        <v>21</v>
      </c>
      <c r="CG8" s="75" t="s">
        <v>15</v>
      </c>
      <c r="CH8" s="75" t="s">
        <v>356</v>
      </c>
      <c r="CI8" s="76" t="s">
        <v>9</v>
      </c>
      <c r="CJ8" s="75"/>
      <c r="CK8" s="75" t="s">
        <v>176</v>
      </c>
      <c r="CL8" s="76" t="s">
        <v>29</v>
      </c>
    </row>
    <row r="9" spans="1:90" ht="12.75">
      <c r="A9" s="74"/>
      <c r="B9" s="75"/>
      <c r="C9" s="76"/>
      <c r="D9" s="75"/>
      <c r="E9" s="77" t="s">
        <v>545</v>
      </c>
      <c r="F9" s="76" t="s">
        <v>21</v>
      </c>
      <c r="G9" s="100" t="s">
        <v>15</v>
      </c>
      <c r="H9" s="75" t="s">
        <v>251</v>
      </c>
      <c r="I9" s="76" t="s">
        <v>9</v>
      </c>
      <c r="J9" s="75"/>
      <c r="K9" s="77" t="s">
        <v>544</v>
      </c>
      <c r="L9" s="76" t="s">
        <v>21</v>
      </c>
      <c r="M9" s="75"/>
      <c r="N9" s="77"/>
      <c r="O9" s="76"/>
      <c r="P9" s="75"/>
      <c r="Q9" s="75" t="s">
        <v>698</v>
      </c>
      <c r="R9" s="76" t="s">
        <v>21</v>
      </c>
      <c r="S9" s="75"/>
      <c r="T9" s="77" t="s">
        <v>704</v>
      </c>
      <c r="U9" s="76" t="s">
        <v>15</v>
      </c>
      <c r="V9" s="75"/>
      <c r="W9" s="77"/>
      <c r="X9" s="76"/>
      <c r="Y9" s="75"/>
      <c r="Z9" s="75" t="s">
        <v>350</v>
      </c>
      <c r="AA9" s="76" t="s">
        <v>21</v>
      </c>
      <c r="AB9" s="75"/>
      <c r="AC9" s="75" t="s">
        <v>326</v>
      </c>
      <c r="AD9" s="76" t="s">
        <v>19</v>
      </c>
      <c r="AE9" s="75"/>
      <c r="AF9" s="77" t="s">
        <v>553</v>
      </c>
      <c r="AG9" s="76" t="s">
        <v>21</v>
      </c>
      <c r="AH9" s="75"/>
      <c r="AI9" s="77"/>
      <c r="AJ9" s="76"/>
      <c r="AK9" s="100"/>
      <c r="AL9" s="77" t="s">
        <v>538</v>
      </c>
      <c r="AM9" s="76" t="s">
        <v>25</v>
      </c>
      <c r="AN9" s="75"/>
      <c r="AO9" s="77" t="s">
        <v>570</v>
      </c>
      <c r="AP9" s="76" t="s">
        <v>15</v>
      </c>
      <c r="AQ9" s="75"/>
      <c r="AR9" s="75"/>
      <c r="AS9" s="76"/>
      <c r="AT9" s="75"/>
      <c r="AU9" s="117" t="s">
        <v>208</v>
      </c>
      <c r="AV9" s="76" t="s">
        <v>19</v>
      </c>
      <c r="AW9" s="75"/>
      <c r="AX9" s="75" t="s">
        <v>674</v>
      </c>
      <c r="AY9" s="76" t="s">
        <v>15</v>
      </c>
      <c r="AZ9" s="75"/>
      <c r="BA9" s="75"/>
      <c r="BB9" s="76"/>
      <c r="BC9" s="75"/>
      <c r="BD9" s="75"/>
      <c r="BE9" s="76"/>
      <c r="BF9" s="75"/>
      <c r="BG9" s="75" t="s">
        <v>545</v>
      </c>
      <c r="BH9" s="76" t="s">
        <v>21</v>
      </c>
      <c r="BI9" s="75"/>
      <c r="BJ9" s="75"/>
      <c r="BK9" s="76"/>
      <c r="BL9" s="75"/>
      <c r="BM9" s="75" t="s">
        <v>704</v>
      </c>
      <c r="BN9" s="76" t="s">
        <v>15</v>
      </c>
      <c r="BO9" s="75"/>
      <c r="BP9" s="75" t="s">
        <v>349</v>
      </c>
      <c r="BQ9" s="76" t="s">
        <v>19</v>
      </c>
      <c r="BR9" s="75"/>
      <c r="BS9" s="75" t="s">
        <v>328</v>
      </c>
      <c r="BT9" s="76" t="s">
        <v>19</v>
      </c>
      <c r="BU9" s="75"/>
      <c r="BV9" s="75"/>
      <c r="BW9" s="76"/>
      <c r="BX9" s="75"/>
      <c r="BY9" s="75"/>
      <c r="BZ9" s="76"/>
      <c r="CA9" s="75"/>
      <c r="CB9" s="75" t="s">
        <v>143</v>
      </c>
      <c r="CC9" s="76" t="s">
        <v>25</v>
      </c>
      <c r="CD9" s="75"/>
      <c r="CE9" s="75" t="s">
        <v>545</v>
      </c>
      <c r="CF9" s="76" t="s">
        <v>21</v>
      </c>
      <c r="CG9" s="75" t="s">
        <v>15</v>
      </c>
      <c r="CH9" s="75" t="s">
        <v>603</v>
      </c>
      <c r="CI9" s="76" t="s">
        <v>9</v>
      </c>
      <c r="CJ9" s="75" t="s">
        <v>729</v>
      </c>
      <c r="CK9" s="75"/>
      <c r="CL9" s="76" t="s">
        <v>29</v>
      </c>
    </row>
    <row r="10" spans="1:90" ht="12.75">
      <c r="A10" s="74"/>
      <c r="B10" s="75"/>
      <c r="C10" s="76"/>
      <c r="D10" s="75"/>
      <c r="E10" s="77" t="s">
        <v>545</v>
      </c>
      <c r="F10" s="76" t="s">
        <v>21</v>
      </c>
      <c r="G10" s="100" t="s">
        <v>15</v>
      </c>
      <c r="H10" s="75" t="s">
        <v>167</v>
      </c>
      <c r="I10" s="76" t="s">
        <v>9</v>
      </c>
      <c r="J10" s="75"/>
      <c r="K10" s="77" t="s">
        <v>404</v>
      </c>
      <c r="L10" s="76" t="s">
        <v>21</v>
      </c>
      <c r="M10" s="75"/>
      <c r="N10" s="77"/>
      <c r="O10" s="76"/>
      <c r="P10" s="75"/>
      <c r="Q10" s="75" t="s">
        <v>699</v>
      </c>
      <c r="R10" s="76" t="s">
        <v>21</v>
      </c>
      <c r="S10" s="75" t="s">
        <v>15</v>
      </c>
      <c r="T10" s="77" t="s">
        <v>324</v>
      </c>
      <c r="U10" s="76" t="s">
        <v>9</v>
      </c>
      <c r="V10" s="75"/>
      <c r="W10" s="77"/>
      <c r="X10" s="76"/>
      <c r="Y10" s="75"/>
      <c r="Z10" s="75" t="s">
        <v>721</v>
      </c>
      <c r="AA10" s="76" t="s">
        <v>21</v>
      </c>
      <c r="AB10" s="75"/>
      <c r="AC10" s="77" t="s">
        <v>674</v>
      </c>
      <c r="AD10" s="76" t="s">
        <v>15</v>
      </c>
      <c r="AE10" s="75"/>
      <c r="AF10" s="77" t="s">
        <v>362</v>
      </c>
      <c r="AG10" s="76" t="s">
        <v>21</v>
      </c>
      <c r="AH10" s="75"/>
      <c r="AI10" s="77"/>
      <c r="AJ10" s="76"/>
      <c r="AK10" s="100"/>
      <c r="AL10" s="77" t="s">
        <v>538</v>
      </c>
      <c r="AM10" s="76" t="s">
        <v>25</v>
      </c>
      <c r="AN10" s="75"/>
      <c r="AO10" s="77" t="s">
        <v>706</v>
      </c>
      <c r="AP10" s="76" t="s">
        <v>15</v>
      </c>
      <c r="AQ10" s="75"/>
      <c r="AR10" s="75"/>
      <c r="AS10" s="76"/>
      <c r="AT10" s="75"/>
      <c r="AU10" s="117"/>
      <c r="AV10" s="76"/>
      <c r="AW10" s="75"/>
      <c r="AX10" s="75" t="s">
        <v>608</v>
      </c>
      <c r="AY10" s="76" t="s">
        <v>15</v>
      </c>
      <c r="AZ10" s="75"/>
      <c r="BA10" s="75"/>
      <c r="BB10" s="76"/>
      <c r="BC10" s="75"/>
      <c r="BD10" s="75"/>
      <c r="BE10" s="76"/>
      <c r="BF10" s="75"/>
      <c r="BG10" s="75" t="s">
        <v>545</v>
      </c>
      <c r="BH10" s="76" t="s">
        <v>21</v>
      </c>
      <c r="BI10" s="75"/>
      <c r="BJ10" s="75"/>
      <c r="BK10" s="76"/>
      <c r="BL10" s="75"/>
      <c r="BM10" s="75"/>
      <c r="BN10" s="76"/>
      <c r="BO10" s="75"/>
      <c r="BP10" s="75" t="s">
        <v>362</v>
      </c>
      <c r="BQ10" s="76" t="s">
        <v>21</v>
      </c>
      <c r="BR10" s="75"/>
      <c r="BS10" s="75" t="s">
        <v>326</v>
      </c>
      <c r="BT10" s="76" t="s">
        <v>19</v>
      </c>
      <c r="BU10" s="75"/>
      <c r="BV10" s="75"/>
      <c r="BW10" s="76"/>
      <c r="BX10" s="75"/>
      <c r="BY10" s="75"/>
      <c r="BZ10" s="76"/>
      <c r="CA10" s="75"/>
      <c r="CB10" s="75" t="s">
        <v>143</v>
      </c>
      <c r="CC10" s="76" t="s">
        <v>25</v>
      </c>
      <c r="CD10" s="75"/>
      <c r="CE10" s="75" t="s">
        <v>545</v>
      </c>
      <c r="CF10" s="76" t="s">
        <v>21</v>
      </c>
      <c r="CG10" s="75" t="s">
        <v>15</v>
      </c>
      <c r="CH10" s="75" t="s">
        <v>604</v>
      </c>
      <c r="CI10" s="76" t="s">
        <v>9</v>
      </c>
      <c r="CJ10" s="75" t="s">
        <v>723</v>
      </c>
      <c r="CK10" s="75"/>
      <c r="CL10" s="76" t="s">
        <v>21</v>
      </c>
    </row>
    <row r="11" spans="1:90" ht="12.75">
      <c r="A11" s="74"/>
      <c r="B11" s="75"/>
      <c r="C11" s="76"/>
      <c r="D11" s="75"/>
      <c r="E11" s="77"/>
      <c r="F11" s="76"/>
      <c r="G11" s="100" t="s">
        <v>15</v>
      </c>
      <c r="H11" s="75" t="s">
        <v>174</v>
      </c>
      <c r="I11" s="76" t="s">
        <v>9</v>
      </c>
      <c r="J11" s="75"/>
      <c r="K11" s="77" t="s">
        <v>396</v>
      </c>
      <c r="L11" s="76" t="s">
        <v>25</v>
      </c>
      <c r="M11" s="75"/>
      <c r="N11" s="77"/>
      <c r="O11" s="76"/>
      <c r="P11" s="75"/>
      <c r="Q11" s="75" t="s">
        <v>544</v>
      </c>
      <c r="R11" s="76" t="s">
        <v>21</v>
      </c>
      <c r="S11" s="75"/>
      <c r="T11" s="77"/>
      <c r="U11" s="76"/>
      <c r="V11" s="75"/>
      <c r="W11" s="77"/>
      <c r="X11" s="76"/>
      <c r="Y11" s="101"/>
      <c r="Z11" s="75" t="s">
        <v>397</v>
      </c>
      <c r="AA11" s="76" t="s">
        <v>21</v>
      </c>
      <c r="AB11" s="75"/>
      <c r="AC11" s="77" t="s">
        <v>672</v>
      </c>
      <c r="AD11" s="76" t="s">
        <v>15</v>
      </c>
      <c r="AE11" s="75"/>
      <c r="AF11" s="77" t="s">
        <v>404</v>
      </c>
      <c r="AG11" s="76" t="s">
        <v>21</v>
      </c>
      <c r="AH11" s="75"/>
      <c r="AI11" s="77"/>
      <c r="AJ11" s="76"/>
      <c r="AK11" s="74"/>
      <c r="AL11" s="77" t="s">
        <v>147</v>
      </c>
      <c r="AM11" s="76" t="s">
        <v>25</v>
      </c>
      <c r="AN11" s="75"/>
      <c r="AO11" s="77" t="s">
        <v>705</v>
      </c>
      <c r="AP11" s="76" t="s">
        <v>15</v>
      </c>
      <c r="AQ11" s="75"/>
      <c r="AR11" s="75"/>
      <c r="AS11" s="76"/>
      <c r="AT11" s="75"/>
      <c r="AU11" s="117"/>
      <c r="AV11" s="76"/>
      <c r="AW11" s="75"/>
      <c r="AX11" s="75" t="s">
        <v>704</v>
      </c>
      <c r="AY11" s="76" t="s">
        <v>15</v>
      </c>
      <c r="AZ11" s="75"/>
      <c r="BA11" s="75"/>
      <c r="BB11" s="76"/>
      <c r="BC11" s="75"/>
      <c r="BD11" s="75"/>
      <c r="BE11" s="76"/>
      <c r="BF11" s="75" t="s">
        <v>726</v>
      </c>
      <c r="BG11" s="75"/>
      <c r="BH11" s="76" t="s">
        <v>25</v>
      </c>
      <c r="BI11" s="75"/>
      <c r="BJ11" s="75"/>
      <c r="BK11" s="76"/>
      <c r="BL11" s="75"/>
      <c r="BM11" s="75"/>
      <c r="BN11" s="76"/>
      <c r="BO11" s="75"/>
      <c r="BP11" s="75" t="s">
        <v>553</v>
      </c>
      <c r="BQ11" s="76" t="s">
        <v>21</v>
      </c>
      <c r="BR11" s="75"/>
      <c r="BS11" s="75" t="s">
        <v>674</v>
      </c>
      <c r="BT11" s="76" t="s">
        <v>15</v>
      </c>
      <c r="BU11" s="75"/>
      <c r="BV11" s="75"/>
      <c r="BW11" s="76"/>
      <c r="BX11" s="75"/>
      <c r="BY11" s="75"/>
      <c r="BZ11" s="76"/>
      <c r="CA11" s="75"/>
      <c r="CB11" s="75" t="s">
        <v>396</v>
      </c>
      <c r="CC11" s="76" t="s">
        <v>25</v>
      </c>
      <c r="CD11" s="75"/>
      <c r="CE11" s="75" t="s">
        <v>404</v>
      </c>
      <c r="CF11" s="76" t="s">
        <v>21</v>
      </c>
      <c r="CG11" s="75" t="s">
        <v>15</v>
      </c>
      <c r="CH11" s="75" t="s">
        <v>716</v>
      </c>
      <c r="CI11" s="76" t="s">
        <v>9</v>
      </c>
      <c r="CJ11" s="75"/>
      <c r="CK11" s="75" t="s">
        <v>661</v>
      </c>
      <c r="CL11" s="76" t="s">
        <v>21</v>
      </c>
    </row>
    <row r="12" spans="1:90" ht="12.75">
      <c r="A12" s="74"/>
      <c r="B12" s="75"/>
      <c r="C12" s="76"/>
      <c r="D12" s="75"/>
      <c r="E12" s="77"/>
      <c r="F12" s="76"/>
      <c r="G12" s="100" t="s">
        <v>15</v>
      </c>
      <c r="H12" s="75" t="s">
        <v>192</v>
      </c>
      <c r="I12" s="76" t="s">
        <v>9</v>
      </c>
      <c r="J12" s="75"/>
      <c r="K12" s="77" t="s">
        <v>396</v>
      </c>
      <c r="L12" s="76" t="s">
        <v>25</v>
      </c>
      <c r="M12" s="75"/>
      <c r="N12" s="77"/>
      <c r="O12" s="76"/>
      <c r="P12" s="75"/>
      <c r="Q12" s="75" t="s">
        <v>616</v>
      </c>
      <c r="R12" s="76" t="s">
        <v>21</v>
      </c>
      <c r="S12" s="75"/>
      <c r="T12" s="77"/>
      <c r="U12" s="76"/>
      <c r="V12" s="75"/>
      <c r="W12" s="77"/>
      <c r="X12" s="76"/>
      <c r="Y12" s="75" t="s">
        <v>723</v>
      </c>
      <c r="Z12" s="77"/>
      <c r="AA12" s="76" t="s">
        <v>21</v>
      </c>
      <c r="AB12" s="75"/>
      <c r="AC12" s="77" t="s">
        <v>567</v>
      </c>
      <c r="AD12" s="76" t="s">
        <v>15</v>
      </c>
      <c r="AE12" s="75"/>
      <c r="AF12" s="77" t="s">
        <v>259</v>
      </c>
      <c r="AG12" s="76" t="s">
        <v>21</v>
      </c>
      <c r="AH12" s="75"/>
      <c r="AI12" s="77"/>
      <c r="AJ12" s="76"/>
      <c r="AK12" s="74"/>
      <c r="AL12" s="77" t="s">
        <v>277</v>
      </c>
      <c r="AM12" s="76" t="s">
        <v>19</v>
      </c>
      <c r="AN12" s="75"/>
      <c r="AO12" s="77" t="s">
        <v>707</v>
      </c>
      <c r="AP12" s="76" t="s">
        <v>15</v>
      </c>
      <c r="AQ12" s="75"/>
      <c r="AR12" s="75"/>
      <c r="AS12" s="76"/>
      <c r="AT12" s="75"/>
      <c r="AU12" s="117"/>
      <c r="AV12" s="76"/>
      <c r="AW12" s="75"/>
      <c r="AX12" s="75" t="s">
        <v>230</v>
      </c>
      <c r="AY12" s="76" t="s">
        <v>15</v>
      </c>
      <c r="AZ12" s="75"/>
      <c r="BA12" s="75"/>
      <c r="BB12" s="76"/>
      <c r="BC12" s="101"/>
      <c r="BD12" s="75"/>
      <c r="BE12" s="76"/>
      <c r="BF12" s="75"/>
      <c r="BG12" s="75" t="s">
        <v>147</v>
      </c>
      <c r="BH12" s="76" t="s">
        <v>25</v>
      </c>
      <c r="BI12" s="75"/>
      <c r="BJ12" s="75"/>
      <c r="BK12" s="76"/>
      <c r="BL12" s="75"/>
      <c r="BM12" s="75"/>
      <c r="BN12" s="76"/>
      <c r="BO12" s="75"/>
      <c r="BP12" s="75" t="s">
        <v>350</v>
      </c>
      <c r="BQ12" s="76" t="s">
        <v>21</v>
      </c>
      <c r="BR12" s="75"/>
      <c r="BS12" s="75" t="s">
        <v>672</v>
      </c>
      <c r="BT12" s="76" t="s">
        <v>15</v>
      </c>
      <c r="BU12" s="75"/>
      <c r="BV12" s="75"/>
      <c r="BW12" s="76"/>
      <c r="BX12" s="75"/>
      <c r="BY12" s="75"/>
      <c r="BZ12" s="76"/>
      <c r="CA12" s="75"/>
      <c r="CB12" s="75" t="s">
        <v>328</v>
      </c>
      <c r="CC12" s="76" t="s">
        <v>19</v>
      </c>
      <c r="CD12" s="75"/>
      <c r="CE12" s="75" t="s">
        <v>554</v>
      </c>
      <c r="CF12" s="76" t="s">
        <v>21</v>
      </c>
      <c r="CG12" s="75" t="s">
        <v>15</v>
      </c>
      <c r="CH12" s="75" t="s">
        <v>651</v>
      </c>
      <c r="CI12" s="76" t="s">
        <v>9</v>
      </c>
      <c r="CJ12" s="75"/>
      <c r="CK12" s="75" t="s">
        <v>362</v>
      </c>
      <c r="CL12" s="76" t="s">
        <v>21</v>
      </c>
    </row>
    <row r="13" spans="1:90" ht="12.75">
      <c r="A13" s="74"/>
      <c r="B13" s="75"/>
      <c r="C13" s="76"/>
      <c r="D13" s="75"/>
      <c r="E13" s="77"/>
      <c r="F13" s="76"/>
      <c r="G13" s="100" t="s">
        <v>15</v>
      </c>
      <c r="H13" s="75" t="s">
        <v>711</v>
      </c>
      <c r="I13" s="76" t="s">
        <v>9</v>
      </c>
      <c r="J13" s="75"/>
      <c r="K13" s="77" t="s">
        <v>147</v>
      </c>
      <c r="L13" s="76" t="s">
        <v>25</v>
      </c>
      <c r="M13" s="75"/>
      <c r="N13" s="77"/>
      <c r="O13" s="76"/>
      <c r="P13" s="75"/>
      <c r="Q13" s="75" t="s">
        <v>581</v>
      </c>
      <c r="R13" s="76" t="s">
        <v>21</v>
      </c>
      <c r="S13" s="75"/>
      <c r="T13" s="77"/>
      <c r="U13" s="76"/>
      <c r="V13" s="75"/>
      <c r="W13" s="77"/>
      <c r="X13" s="76"/>
      <c r="Y13" s="75"/>
      <c r="Z13" s="77" t="s">
        <v>351</v>
      </c>
      <c r="AA13" s="76" t="s">
        <v>19</v>
      </c>
      <c r="AB13" s="75"/>
      <c r="AC13" s="77" t="s">
        <v>608</v>
      </c>
      <c r="AD13" s="76" t="s">
        <v>15</v>
      </c>
      <c r="AE13" s="75" t="s">
        <v>21</v>
      </c>
      <c r="AF13" s="77" t="s">
        <v>324</v>
      </c>
      <c r="AG13" s="76" t="s">
        <v>9</v>
      </c>
      <c r="AH13" s="75"/>
      <c r="AI13" s="77"/>
      <c r="AJ13" s="76"/>
      <c r="AK13" s="74"/>
      <c r="AL13" s="77" t="s">
        <v>210</v>
      </c>
      <c r="AM13" s="76" t="s">
        <v>19</v>
      </c>
      <c r="AN13" s="75"/>
      <c r="AO13" s="77"/>
      <c r="AP13" s="76"/>
      <c r="AQ13" s="75"/>
      <c r="AR13" s="77"/>
      <c r="AS13" s="76"/>
      <c r="AT13" s="75"/>
      <c r="AU13" s="117"/>
      <c r="AV13" s="76"/>
      <c r="AW13" s="75"/>
      <c r="AX13" s="75" t="s">
        <v>610</v>
      </c>
      <c r="AY13" s="76" t="s">
        <v>15</v>
      </c>
      <c r="AZ13" s="75"/>
      <c r="BA13" s="75"/>
      <c r="BB13" s="76"/>
      <c r="BC13" s="101"/>
      <c r="BD13" s="75"/>
      <c r="BE13" s="76"/>
      <c r="BF13" s="75"/>
      <c r="BG13" s="75" t="s">
        <v>232</v>
      </c>
      <c r="BH13" s="76" t="s">
        <v>25</v>
      </c>
      <c r="BI13" s="75"/>
      <c r="BJ13" s="75"/>
      <c r="BK13" s="76"/>
      <c r="BL13" s="75"/>
      <c r="BM13" s="75"/>
      <c r="BN13" s="76"/>
      <c r="BO13" s="75" t="s">
        <v>723</v>
      </c>
      <c r="BP13" s="75"/>
      <c r="BQ13" s="76" t="s">
        <v>21</v>
      </c>
      <c r="BR13" s="75"/>
      <c r="BS13" s="75" t="s">
        <v>567</v>
      </c>
      <c r="BT13" s="76" t="s">
        <v>15</v>
      </c>
      <c r="BU13" s="75"/>
      <c r="BV13" s="75"/>
      <c r="BW13" s="76"/>
      <c r="BX13" s="75"/>
      <c r="BY13" s="75"/>
      <c r="BZ13" s="76"/>
      <c r="CA13" s="75"/>
      <c r="CB13" s="75" t="s">
        <v>626</v>
      </c>
      <c r="CC13" s="76" t="s">
        <v>19</v>
      </c>
      <c r="CD13" s="75"/>
      <c r="CE13" s="75" t="s">
        <v>730</v>
      </c>
      <c r="CF13" s="76" t="s">
        <v>21</v>
      </c>
      <c r="CG13" s="75" t="s">
        <v>15</v>
      </c>
      <c r="CH13" s="75" t="s">
        <v>701</v>
      </c>
      <c r="CI13" s="76" t="s">
        <v>9</v>
      </c>
      <c r="CJ13" s="75"/>
      <c r="CK13" s="75" t="s">
        <v>553</v>
      </c>
      <c r="CL13" s="76" t="s">
        <v>21</v>
      </c>
    </row>
    <row r="14" spans="1:90" ht="12.75">
      <c r="A14" s="74"/>
      <c r="B14" s="75"/>
      <c r="C14" s="76"/>
      <c r="D14" s="75"/>
      <c r="E14" s="77"/>
      <c r="F14" s="76"/>
      <c r="G14" s="100" t="s">
        <v>15</v>
      </c>
      <c r="H14" s="75" t="s">
        <v>655</v>
      </c>
      <c r="I14" s="76" t="s">
        <v>9</v>
      </c>
      <c r="J14" s="75"/>
      <c r="K14" s="77" t="s">
        <v>147</v>
      </c>
      <c r="L14" s="76" t="s">
        <v>25</v>
      </c>
      <c r="M14" s="75"/>
      <c r="N14" s="77"/>
      <c r="O14" s="76"/>
      <c r="P14" s="75"/>
      <c r="Q14" s="75" t="s">
        <v>581</v>
      </c>
      <c r="R14" s="76" t="s">
        <v>21</v>
      </c>
      <c r="S14" s="75"/>
      <c r="T14" s="77"/>
      <c r="U14" s="76"/>
      <c r="V14" s="75"/>
      <c r="W14" s="77"/>
      <c r="X14" s="76"/>
      <c r="Y14" s="75"/>
      <c r="Z14" s="77"/>
      <c r="AA14" s="76"/>
      <c r="AB14" s="75"/>
      <c r="AC14" s="77" t="s">
        <v>366</v>
      </c>
      <c r="AD14" s="76" t="s">
        <v>15</v>
      </c>
      <c r="AE14" s="75" t="s">
        <v>21</v>
      </c>
      <c r="AF14" s="77" t="s">
        <v>169</v>
      </c>
      <c r="AG14" s="76" t="s">
        <v>9</v>
      </c>
      <c r="AH14" s="75"/>
      <c r="AI14" s="77"/>
      <c r="AJ14" s="76"/>
      <c r="AK14" s="74"/>
      <c r="AL14" s="77" t="s">
        <v>208</v>
      </c>
      <c r="AM14" s="76" t="s">
        <v>19</v>
      </c>
      <c r="AN14" s="75"/>
      <c r="AO14" s="77"/>
      <c r="AP14" s="76"/>
      <c r="AQ14" s="75"/>
      <c r="AR14" s="77"/>
      <c r="AS14" s="76"/>
      <c r="AT14" s="75"/>
      <c r="AU14" s="117"/>
      <c r="AV14" s="76"/>
      <c r="AW14" s="75"/>
      <c r="AX14" s="75" t="s">
        <v>707</v>
      </c>
      <c r="AY14" s="76" t="s">
        <v>15</v>
      </c>
      <c r="AZ14" s="75"/>
      <c r="BA14" s="75"/>
      <c r="BB14" s="76"/>
      <c r="BC14" s="75"/>
      <c r="BD14" s="75"/>
      <c r="BE14" s="76"/>
      <c r="BF14" s="75"/>
      <c r="BG14" s="75" t="s">
        <v>626</v>
      </c>
      <c r="BH14" s="76" t="s">
        <v>19</v>
      </c>
      <c r="BI14" s="75"/>
      <c r="BJ14" s="75"/>
      <c r="BK14" s="76"/>
      <c r="BL14" s="75"/>
      <c r="BM14" s="75"/>
      <c r="BN14" s="76"/>
      <c r="BO14" s="75"/>
      <c r="BP14" s="75"/>
      <c r="BQ14" s="76"/>
      <c r="BR14" s="75"/>
      <c r="BS14" s="75" t="s">
        <v>230</v>
      </c>
      <c r="BT14" s="76" t="s">
        <v>15</v>
      </c>
      <c r="BU14" s="75"/>
      <c r="BV14" s="75"/>
      <c r="BW14" s="76"/>
      <c r="BX14" s="75"/>
      <c r="BY14" s="75"/>
      <c r="BZ14" s="76"/>
      <c r="CA14" s="75"/>
      <c r="CB14" s="75" t="s">
        <v>607</v>
      </c>
      <c r="CC14" s="76" t="s">
        <v>19</v>
      </c>
      <c r="CD14" s="75"/>
      <c r="CE14" s="75" t="s">
        <v>674</v>
      </c>
      <c r="CF14" s="76" t="s">
        <v>15</v>
      </c>
      <c r="CG14" s="75" t="s">
        <v>15</v>
      </c>
      <c r="CH14" s="75" t="s">
        <v>751</v>
      </c>
      <c r="CI14" s="76" t="s">
        <v>9</v>
      </c>
      <c r="CJ14" s="75"/>
      <c r="CK14" s="75" t="s">
        <v>616</v>
      </c>
      <c r="CL14" s="76" t="s">
        <v>21</v>
      </c>
    </row>
    <row r="15" spans="1:90" ht="12.75">
      <c r="A15" s="74"/>
      <c r="B15" s="75"/>
      <c r="C15" s="76"/>
      <c r="D15" s="75"/>
      <c r="E15" s="77"/>
      <c r="F15" s="76"/>
      <c r="G15" s="100" t="s">
        <v>15</v>
      </c>
      <c r="H15" s="75" t="s">
        <v>651</v>
      </c>
      <c r="I15" s="76" t="s">
        <v>9</v>
      </c>
      <c r="J15" s="75"/>
      <c r="K15" s="77" t="s">
        <v>480</v>
      </c>
      <c r="L15" s="76" t="s">
        <v>25</v>
      </c>
      <c r="M15" s="75"/>
      <c r="N15" s="77"/>
      <c r="O15" s="76"/>
      <c r="P15" s="75"/>
      <c r="Q15" s="75" t="s">
        <v>580</v>
      </c>
      <c r="R15" s="76" t="s">
        <v>21</v>
      </c>
      <c r="S15" s="75"/>
      <c r="T15" s="77"/>
      <c r="U15" s="76"/>
      <c r="V15" s="75"/>
      <c r="W15" s="77"/>
      <c r="X15" s="76"/>
      <c r="Y15" s="75"/>
      <c r="Z15" s="77"/>
      <c r="AA15" s="76"/>
      <c r="AB15" s="75"/>
      <c r="AC15" s="77" t="s">
        <v>704</v>
      </c>
      <c r="AD15" s="76" t="s">
        <v>15</v>
      </c>
      <c r="AE15" s="75" t="s">
        <v>21</v>
      </c>
      <c r="AF15" s="77" t="s">
        <v>192</v>
      </c>
      <c r="AG15" s="76" t="s">
        <v>9</v>
      </c>
      <c r="AH15" s="75"/>
      <c r="AI15" s="77"/>
      <c r="AJ15" s="76"/>
      <c r="AK15" s="74"/>
      <c r="AL15" s="77" t="s">
        <v>572</v>
      </c>
      <c r="AM15" s="76" t="s">
        <v>19</v>
      </c>
      <c r="AN15" s="75"/>
      <c r="AO15" s="77"/>
      <c r="AP15" s="76"/>
      <c r="AQ15" s="75"/>
      <c r="AR15" s="77"/>
      <c r="AS15" s="76"/>
      <c r="AT15" s="75"/>
      <c r="AU15" s="117"/>
      <c r="AV15" s="76"/>
      <c r="AW15" s="75"/>
      <c r="AX15" s="75"/>
      <c r="AY15" s="76"/>
      <c r="AZ15" s="75"/>
      <c r="BA15" s="75"/>
      <c r="BB15" s="76"/>
      <c r="BC15" s="75"/>
      <c r="BD15" s="75"/>
      <c r="BE15" s="76"/>
      <c r="BF15" s="75"/>
      <c r="BG15" s="75" t="s">
        <v>571</v>
      </c>
      <c r="BH15" s="76" t="s">
        <v>19</v>
      </c>
      <c r="BI15" s="75"/>
      <c r="BJ15" s="75"/>
      <c r="BK15" s="76"/>
      <c r="BL15" s="75"/>
      <c r="BM15" s="75"/>
      <c r="BN15" s="76"/>
      <c r="BO15" s="75"/>
      <c r="BP15" s="75"/>
      <c r="BQ15" s="76"/>
      <c r="BR15" s="75"/>
      <c r="BS15" s="75" t="s">
        <v>610</v>
      </c>
      <c r="BT15" s="76" t="s">
        <v>15</v>
      </c>
      <c r="BU15" s="75"/>
      <c r="BV15" s="75"/>
      <c r="BW15" s="76"/>
      <c r="BX15" s="75"/>
      <c r="BY15" s="75"/>
      <c r="BZ15" s="76"/>
      <c r="CA15" s="75"/>
      <c r="CB15" s="75" t="s">
        <v>606</v>
      </c>
      <c r="CC15" s="76" t="s">
        <v>19</v>
      </c>
      <c r="CD15" s="75"/>
      <c r="CE15" s="75" t="s">
        <v>515</v>
      </c>
      <c r="CF15" s="76" t="s">
        <v>15</v>
      </c>
      <c r="CG15" s="75" t="s">
        <v>753</v>
      </c>
      <c r="CH15" s="75" t="s">
        <v>752</v>
      </c>
      <c r="CI15" s="76" t="s">
        <v>9</v>
      </c>
      <c r="CJ15" s="75"/>
      <c r="CK15" s="75"/>
      <c r="CL15" s="76"/>
    </row>
    <row r="16" spans="1:90" ht="12.75">
      <c r="A16" s="74"/>
      <c r="B16" s="75"/>
      <c r="C16" s="76"/>
      <c r="D16" s="75"/>
      <c r="E16" s="77"/>
      <c r="F16" s="76"/>
      <c r="G16" s="100" t="s">
        <v>15</v>
      </c>
      <c r="H16" s="75" t="s">
        <v>206</v>
      </c>
      <c r="I16" s="76" t="s">
        <v>9</v>
      </c>
      <c r="J16" s="75"/>
      <c r="K16" s="77" t="s">
        <v>232</v>
      </c>
      <c r="L16" s="76" t="s">
        <v>25</v>
      </c>
      <c r="M16" s="75"/>
      <c r="N16" s="77"/>
      <c r="O16" s="76"/>
      <c r="P16" s="75"/>
      <c r="Q16" s="75" t="s">
        <v>580</v>
      </c>
      <c r="R16" s="76" t="s">
        <v>21</v>
      </c>
      <c r="S16" s="75"/>
      <c r="T16" s="77"/>
      <c r="U16" s="76"/>
      <c r="V16" s="75"/>
      <c r="W16" s="77"/>
      <c r="X16" s="76"/>
      <c r="Y16" s="75"/>
      <c r="Z16" s="77"/>
      <c r="AA16" s="76"/>
      <c r="AB16" s="75"/>
      <c r="AC16" s="77" t="s">
        <v>570</v>
      </c>
      <c r="AD16" s="76" t="s">
        <v>15</v>
      </c>
      <c r="AE16" s="75" t="s">
        <v>21</v>
      </c>
      <c r="AF16" s="77" t="s">
        <v>706</v>
      </c>
      <c r="AG16" s="76" t="s">
        <v>15</v>
      </c>
      <c r="AH16" s="75"/>
      <c r="AI16" s="77"/>
      <c r="AJ16" s="76"/>
      <c r="AK16" s="74"/>
      <c r="AL16" s="77" t="s">
        <v>328</v>
      </c>
      <c r="AM16" s="76" t="s">
        <v>19</v>
      </c>
      <c r="AN16" s="75"/>
      <c r="AO16" s="77"/>
      <c r="AP16" s="76"/>
      <c r="AQ16" s="75"/>
      <c r="AR16" s="77"/>
      <c r="AS16" s="76"/>
      <c r="AT16" s="75"/>
      <c r="AU16" s="117"/>
      <c r="AV16" s="76"/>
      <c r="AW16" s="75"/>
      <c r="AX16" s="75"/>
      <c r="AY16" s="76"/>
      <c r="AZ16" s="75"/>
      <c r="BA16" s="75"/>
      <c r="BB16" s="76"/>
      <c r="BC16" s="75"/>
      <c r="BD16" s="75"/>
      <c r="BE16" s="76"/>
      <c r="BF16" s="75"/>
      <c r="BG16" s="75" t="s">
        <v>607</v>
      </c>
      <c r="BH16" s="76" t="s">
        <v>19</v>
      </c>
      <c r="BI16" s="75"/>
      <c r="BJ16" s="75"/>
      <c r="BK16" s="76"/>
      <c r="BL16" s="75"/>
      <c r="BM16" s="75"/>
      <c r="BN16" s="76"/>
      <c r="BO16" s="75"/>
      <c r="BP16" s="75"/>
      <c r="BQ16" s="76"/>
      <c r="BR16" s="75"/>
      <c r="BS16" s="75" t="s">
        <v>707</v>
      </c>
      <c r="BT16" s="76" t="s">
        <v>15</v>
      </c>
      <c r="BU16" s="75"/>
      <c r="BV16" s="75"/>
      <c r="BW16" s="76"/>
      <c r="BX16" s="75"/>
      <c r="BY16" s="75"/>
      <c r="BZ16" s="76"/>
      <c r="CA16" s="75"/>
      <c r="CB16" s="75" t="s">
        <v>341</v>
      </c>
      <c r="CC16" s="76" t="s">
        <v>19</v>
      </c>
      <c r="CD16" s="75"/>
      <c r="CE16" s="75" t="s">
        <v>567</v>
      </c>
      <c r="CF16" s="76" t="s">
        <v>15</v>
      </c>
      <c r="CG16" s="75" t="s">
        <v>753</v>
      </c>
      <c r="CH16" s="75" t="s">
        <v>663</v>
      </c>
      <c r="CI16" s="76" t="s">
        <v>9</v>
      </c>
      <c r="CJ16" s="75"/>
      <c r="CK16" s="75"/>
      <c r="CL16" s="76"/>
    </row>
    <row r="17" spans="1:90" ht="12.75">
      <c r="A17" s="74"/>
      <c r="B17" s="75"/>
      <c r="C17" s="76"/>
      <c r="D17" s="75"/>
      <c r="E17" s="77"/>
      <c r="F17" s="76"/>
      <c r="G17" s="100" t="s">
        <v>718</v>
      </c>
      <c r="H17" s="75" t="s">
        <v>640</v>
      </c>
      <c r="I17" s="76" t="s">
        <v>9</v>
      </c>
      <c r="J17" s="75"/>
      <c r="K17" s="77" t="s">
        <v>706</v>
      </c>
      <c r="L17" s="76" t="s">
        <v>15</v>
      </c>
      <c r="M17" s="75"/>
      <c r="N17" s="77"/>
      <c r="O17" s="76"/>
      <c r="P17" s="75"/>
      <c r="Q17" s="75" t="s">
        <v>341</v>
      </c>
      <c r="R17" s="76" t="s">
        <v>19</v>
      </c>
      <c r="S17" s="75"/>
      <c r="T17" s="77"/>
      <c r="U17" s="76"/>
      <c r="V17" s="75"/>
      <c r="W17" s="77"/>
      <c r="X17" s="76"/>
      <c r="Y17" s="75"/>
      <c r="Z17" s="77"/>
      <c r="AA17" s="76"/>
      <c r="AB17" s="75"/>
      <c r="AC17" s="77" t="s">
        <v>610</v>
      </c>
      <c r="AD17" s="76" t="s">
        <v>15</v>
      </c>
      <c r="AE17" s="75"/>
      <c r="AF17" s="77" t="s">
        <v>237</v>
      </c>
      <c r="AG17" s="76" t="s">
        <v>9</v>
      </c>
      <c r="AH17" s="75"/>
      <c r="AI17" s="77"/>
      <c r="AJ17" s="76"/>
      <c r="AK17" s="74"/>
      <c r="AL17" s="77" t="s">
        <v>341</v>
      </c>
      <c r="AM17" s="76" t="s">
        <v>19</v>
      </c>
      <c r="AN17" s="75"/>
      <c r="AO17" s="77"/>
      <c r="AP17" s="76"/>
      <c r="AQ17" s="75"/>
      <c r="AR17" s="77"/>
      <c r="AS17" s="76"/>
      <c r="AT17" s="75"/>
      <c r="AU17" s="117"/>
      <c r="AV17" s="76"/>
      <c r="AW17" s="75"/>
      <c r="AX17" s="75"/>
      <c r="AY17" s="76"/>
      <c r="AZ17" s="75"/>
      <c r="BA17" s="75"/>
      <c r="BB17" s="76"/>
      <c r="BC17" s="75"/>
      <c r="BD17" s="75"/>
      <c r="BE17" s="76"/>
      <c r="BF17" s="75"/>
      <c r="BG17" s="75" t="s">
        <v>606</v>
      </c>
      <c r="BH17" s="76" t="s">
        <v>19</v>
      </c>
      <c r="BI17" s="75"/>
      <c r="BJ17" s="75"/>
      <c r="BK17" s="76"/>
      <c r="BL17" s="75"/>
      <c r="BM17" s="75"/>
      <c r="BN17" s="76"/>
      <c r="BO17" s="75"/>
      <c r="BP17" s="75"/>
      <c r="BQ17" s="76"/>
      <c r="BR17" s="75"/>
      <c r="BS17" s="75"/>
      <c r="BT17" s="76"/>
      <c r="BU17" s="75"/>
      <c r="BV17" s="75"/>
      <c r="BW17" s="76"/>
      <c r="BX17" s="75"/>
      <c r="BY17" s="75"/>
      <c r="BZ17" s="76"/>
      <c r="CA17" s="75"/>
      <c r="CB17" s="75" t="s">
        <v>341</v>
      </c>
      <c r="CC17" s="76" t="s">
        <v>19</v>
      </c>
      <c r="CD17" s="75"/>
      <c r="CE17" s="75" t="s">
        <v>366</v>
      </c>
      <c r="CF17" s="76" t="s">
        <v>15</v>
      </c>
      <c r="CG17" s="75" t="s">
        <v>753</v>
      </c>
      <c r="CH17" s="75" t="s">
        <v>702</v>
      </c>
      <c r="CI17" s="76" t="s">
        <v>9</v>
      </c>
      <c r="CJ17" s="75"/>
      <c r="CK17" s="75"/>
      <c r="CL17" s="76"/>
    </row>
    <row r="18" spans="1:90" ht="12.75">
      <c r="A18" s="74"/>
      <c r="B18" s="75"/>
      <c r="C18" s="76"/>
      <c r="D18" s="75"/>
      <c r="E18" s="77"/>
      <c r="F18" s="76"/>
      <c r="G18" s="100" t="s">
        <v>718</v>
      </c>
      <c r="H18" s="75" t="s">
        <v>712</v>
      </c>
      <c r="I18" s="76" t="s">
        <v>9</v>
      </c>
      <c r="J18" s="75"/>
      <c r="K18" s="77" t="s">
        <v>515</v>
      </c>
      <c r="L18" s="76" t="s">
        <v>15</v>
      </c>
      <c r="M18" s="75"/>
      <c r="N18" s="77"/>
      <c r="O18" s="76"/>
      <c r="P18" s="75"/>
      <c r="Q18" s="75" t="s">
        <v>341</v>
      </c>
      <c r="R18" s="76" t="s">
        <v>19</v>
      </c>
      <c r="S18" s="75"/>
      <c r="T18" s="77"/>
      <c r="U18" s="76"/>
      <c r="V18" s="101"/>
      <c r="W18" s="77"/>
      <c r="X18" s="76"/>
      <c r="Y18" s="75"/>
      <c r="Z18" s="77"/>
      <c r="AA18" s="76"/>
      <c r="AB18" s="75"/>
      <c r="AC18" s="77"/>
      <c r="AD18" s="76"/>
      <c r="AE18" s="75"/>
      <c r="AF18" s="77"/>
      <c r="AG18" s="76"/>
      <c r="AH18" s="75"/>
      <c r="AI18" s="77"/>
      <c r="AJ18" s="76"/>
      <c r="AK18" s="74"/>
      <c r="AL18" s="77" t="s">
        <v>341</v>
      </c>
      <c r="AM18" s="76" t="s">
        <v>19</v>
      </c>
      <c r="AN18" s="75"/>
      <c r="AO18" s="77"/>
      <c r="AP18" s="76"/>
      <c r="AQ18" s="75"/>
      <c r="AR18" s="77"/>
      <c r="AS18" s="76"/>
      <c r="AT18" s="75"/>
      <c r="AU18" s="117"/>
      <c r="AV18" s="76"/>
      <c r="AW18" s="75"/>
      <c r="AX18" s="75"/>
      <c r="AY18" s="76"/>
      <c r="AZ18" s="75"/>
      <c r="BA18" s="75"/>
      <c r="BB18" s="76"/>
      <c r="BC18" s="75"/>
      <c r="BD18" s="75"/>
      <c r="BE18" s="76"/>
      <c r="BF18" s="75"/>
      <c r="BG18" s="75" t="s">
        <v>341</v>
      </c>
      <c r="BH18" s="76" t="s">
        <v>19</v>
      </c>
      <c r="BI18" s="75"/>
      <c r="BJ18" s="75"/>
      <c r="BK18" s="76"/>
      <c r="BL18" s="75"/>
      <c r="BM18" s="75"/>
      <c r="BN18" s="76"/>
      <c r="BO18" s="75"/>
      <c r="BP18" s="75"/>
      <c r="BQ18" s="76"/>
      <c r="BR18" s="75"/>
      <c r="BS18" s="75"/>
      <c r="BT18" s="76"/>
      <c r="BU18" s="75"/>
      <c r="BV18" s="75"/>
      <c r="BW18" s="76"/>
      <c r="BX18" s="75"/>
      <c r="BY18" s="75"/>
      <c r="BZ18" s="76"/>
      <c r="CA18" s="75"/>
      <c r="CB18" s="75" t="s">
        <v>321</v>
      </c>
      <c r="CC18" s="76" t="s">
        <v>19</v>
      </c>
      <c r="CD18" s="75"/>
      <c r="CE18" s="75" t="s">
        <v>366</v>
      </c>
      <c r="CF18" s="76" t="s">
        <v>15</v>
      </c>
      <c r="CG18" s="75" t="s">
        <v>754</v>
      </c>
      <c r="CH18" s="75" t="s">
        <v>174</v>
      </c>
      <c r="CI18" s="76" t="s">
        <v>9</v>
      </c>
      <c r="CJ18" s="75"/>
      <c r="CK18" s="75"/>
      <c r="CL18" s="76"/>
    </row>
    <row r="19" spans="1:90" ht="12.75">
      <c r="A19" s="74"/>
      <c r="B19" s="75"/>
      <c r="C19" s="76"/>
      <c r="D19" s="75"/>
      <c r="E19" s="77"/>
      <c r="F19" s="76"/>
      <c r="G19" s="100" t="s">
        <v>718</v>
      </c>
      <c r="H19" s="75" t="s">
        <v>713</v>
      </c>
      <c r="I19" s="76" t="s">
        <v>9</v>
      </c>
      <c r="J19" s="75" t="s">
        <v>15</v>
      </c>
      <c r="K19" s="77" t="s">
        <v>324</v>
      </c>
      <c r="L19" s="76" t="s">
        <v>9</v>
      </c>
      <c r="M19" s="75"/>
      <c r="N19" s="77"/>
      <c r="O19" s="76"/>
      <c r="P19" s="75"/>
      <c r="Q19" s="75" t="s">
        <v>333</v>
      </c>
      <c r="R19" s="76" t="s">
        <v>19</v>
      </c>
      <c r="S19" s="75"/>
      <c r="T19" s="77"/>
      <c r="U19" s="76"/>
      <c r="V19" s="75"/>
      <c r="W19" s="77"/>
      <c r="X19" s="76"/>
      <c r="Y19" s="75"/>
      <c r="Z19" s="77"/>
      <c r="AA19" s="76"/>
      <c r="AB19" s="75"/>
      <c r="AC19" s="77"/>
      <c r="AD19" s="76"/>
      <c r="AE19" s="75"/>
      <c r="AF19" s="77"/>
      <c r="AG19" s="76"/>
      <c r="AH19" s="75"/>
      <c r="AI19" s="77"/>
      <c r="AJ19" s="76"/>
      <c r="AK19" s="74"/>
      <c r="AL19" s="77" t="s">
        <v>321</v>
      </c>
      <c r="AM19" s="76" t="s">
        <v>19</v>
      </c>
      <c r="AN19" s="75"/>
      <c r="AO19" s="77"/>
      <c r="AP19" s="76"/>
      <c r="AQ19" s="75"/>
      <c r="AR19" s="77"/>
      <c r="AS19" s="76"/>
      <c r="AT19" s="75"/>
      <c r="AU19" s="117"/>
      <c r="AV19" s="76"/>
      <c r="AW19" s="75"/>
      <c r="AX19" s="75"/>
      <c r="AY19" s="76"/>
      <c r="AZ19" s="75"/>
      <c r="BA19" s="75"/>
      <c r="BB19" s="76"/>
      <c r="BC19" s="75"/>
      <c r="BD19" s="75"/>
      <c r="BE19" s="76"/>
      <c r="BF19" s="75"/>
      <c r="BG19" s="75" t="s">
        <v>321</v>
      </c>
      <c r="BH19" s="76" t="s">
        <v>19</v>
      </c>
      <c r="BI19" s="75"/>
      <c r="BJ19" s="77"/>
      <c r="BK19" s="76"/>
      <c r="BL19" s="75"/>
      <c r="BM19" s="75"/>
      <c r="BN19" s="76"/>
      <c r="BO19" s="75"/>
      <c r="BP19" s="75"/>
      <c r="BQ19" s="76"/>
      <c r="BR19" s="75"/>
      <c r="BS19" s="75"/>
      <c r="BT19" s="76"/>
      <c r="BU19" s="75"/>
      <c r="BV19" s="77"/>
      <c r="BW19" s="76"/>
      <c r="BX19" s="75"/>
      <c r="BY19" s="75"/>
      <c r="BZ19" s="76"/>
      <c r="CA19" s="75"/>
      <c r="CB19" s="75" t="s">
        <v>321</v>
      </c>
      <c r="CC19" s="76" t="s">
        <v>19</v>
      </c>
      <c r="CD19" s="75"/>
      <c r="CE19" s="75" t="s">
        <v>332</v>
      </c>
      <c r="CF19" s="76" t="s">
        <v>15</v>
      </c>
      <c r="CG19" s="75" t="s">
        <v>754</v>
      </c>
      <c r="CH19" s="75" t="s">
        <v>141</v>
      </c>
      <c r="CI19" s="76" t="s">
        <v>9</v>
      </c>
      <c r="CJ19" s="75"/>
      <c r="CK19" s="75"/>
      <c r="CL19" s="76"/>
    </row>
    <row r="20" spans="1:90" ht="12.75">
      <c r="A20" s="74"/>
      <c r="B20" s="75"/>
      <c r="C20" s="76"/>
      <c r="D20" s="75"/>
      <c r="E20" s="77"/>
      <c r="F20" s="76"/>
      <c r="G20" s="100" t="s">
        <v>719</v>
      </c>
      <c r="H20" s="75" t="s">
        <v>627</v>
      </c>
      <c r="I20" s="76" t="s">
        <v>9</v>
      </c>
      <c r="J20" s="75" t="s">
        <v>15</v>
      </c>
      <c r="K20" s="77" t="s">
        <v>324</v>
      </c>
      <c r="L20" s="76" t="s">
        <v>9</v>
      </c>
      <c r="M20" s="75"/>
      <c r="N20" s="77"/>
      <c r="O20" s="76"/>
      <c r="P20" s="75"/>
      <c r="Q20" s="75" t="s">
        <v>607</v>
      </c>
      <c r="R20" s="76" t="s">
        <v>19</v>
      </c>
      <c r="S20" s="75"/>
      <c r="T20" s="77"/>
      <c r="U20" s="76"/>
      <c r="V20" s="75"/>
      <c r="W20" s="77"/>
      <c r="X20" s="76"/>
      <c r="Y20" s="75"/>
      <c r="Z20" s="77"/>
      <c r="AA20" s="76"/>
      <c r="AB20" s="75"/>
      <c r="AC20" s="77"/>
      <c r="AD20" s="76"/>
      <c r="AE20" s="75"/>
      <c r="AF20" s="77"/>
      <c r="AG20" s="76"/>
      <c r="AH20" s="75"/>
      <c r="AI20" s="77"/>
      <c r="AJ20" s="76"/>
      <c r="AK20" s="74"/>
      <c r="AL20" s="77" t="s">
        <v>321</v>
      </c>
      <c r="AM20" s="76" t="s">
        <v>19</v>
      </c>
      <c r="AN20" s="75"/>
      <c r="AO20" s="77"/>
      <c r="AP20" s="76"/>
      <c r="AQ20" s="75"/>
      <c r="AR20" s="77"/>
      <c r="AS20" s="76"/>
      <c r="AT20" s="75"/>
      <c r="AU20" s="118"/>
      <c r="AV20" s="76"/>
      <c r="AW20" s="75"/>
      <c r="AX20" s="75"/>
      <c r="AY20" s="76"/>
      <c r="AZ20" s="75"/>
      <c r="BA20" s="77"/>
      <c r="BB20" s="76"/>
      <c r="BC20" s="75"/>
      <c r="BD20" s="77"/>
      <c r="BE20" s="76"/>
      <c r="BF20" s="75"/>
      <c r="BG20" s="77" t="s">
        <v>594</v>
      </c>
      <c r="BH20" s="76" t="s">
        <v>19</v>
      </c>
      <c r="BI20" s="75"/>
      <c r="BJ20" s="77"/>
      <c r="BK20" s="76"/>
      <c r="BL20" s="75"/>
      <c r="BM20" s="77"/>
      <c r="BN20" s="76"/>
      <c r="BO20" s="75"/>
      <c r="BP20" s="75"/>
      <c r="BQ20" s="76"/>
      <c r="BR20" s="75"/>
      <c r="BS20" s="77"/>
      <c r="BT20" s="76"/>
      <c r="BU20" s="75"/>
      <c r="BV20" s="77"/>
      <c r="BW20" s="76"/>
      <c r="BX20" s="75"/>
      <c r="BY20" s="77"/>
      <c r="BZ20" s="76"/>
      <c r="CA20" s="75"/>
      <c r="CB20" s="77" t="s">
        <v>210</v>
      </c>
      <c r="CC20" s="76" t="s">
        <v>19</v>
      </c>
      <c r="CD20" s="75"/>
      <c r="CE20" s="77" t="s">
        <v>332</v>
      </c>
      <c r="CF20" s="76" t="s">
        <v>15</v>
      </c>
      <c r="CG20" s="75" t="s">
        <v>754</v>
      </c>
      <c r="CH20" s="77" t="s">
        <v>124</v>
      </c>
      <c r="CI20" s="76" t="s">
        <v>9</v>
      </c>
      <c r="CJ20" s="75"/>
      <c r="CK20" s="75"/>
      <c r="CL20" s="76"/>
    </row>
    <row r="21" spans="1:90" ht="12.75">
      <c r="A21" s="74"/>
      <c r="B21" s="75"/>
      <c r="C21" s="76"/>
      <c r="D21" s="75"/>
      <c r="E21" s="77"/>
      <c r="F21" s="76"/>
      <c r="G21" s="100" t="s">
        <v>719</v>
      </c>
      <c r="H21" s="77" t="s">
        <v>701</v>
      </c>
      <c r="I21" s="76" t="s">
        <v>9</v>
      </c>
      <c r="J21" s="75" t="s">
        <v>15</v>
      </c>
      <c r="K21" s="77" t="s">
        <v>169</v>
      </c>
      <c r="L21" s="76" t="s">
        <v>9</v>
      </c>
      <c r="M21" s="75"/>
      <c r="N21" s="77"/>
      <c r="O21" s="76"/>
      <c r="P21" s="75"/>
      <c r="Q21" s="75" t="s">
        <v>606</v>
      </c>
      <c r="R21" s="76" t="s">
        <v>19</v>
      </c>
      <c r="S21" s="75"/>
      <c r="T21" s="77"/>
      <c r="U21" s="76"/>
      <c r="V21" s="75"/>
      <c r="W21" s="77"/>
      <c r="X21" s="76"/>
      <c r="Y21" s="75"/>
      <c r="Z21" s="77"/>
      <c r="AA21" s="76"/>
      <c r="AB21" s="75"/>
      <c r="AC21" s="77"/>
      <c r="AD21" s="76"/>
      <c r="AE21" s="75"/>
      <c r="AF21" s="77"/>
      <c r="AG21" s="76"/>
      <c r="AH21" s="75"/>
      <c r="AI21" s="77"/>
      <c r="AJ21" s="76"/>
      <c r="AK21" s="74"/>
      <c r="AL21" s="77" t="s">
        <v>594</v>
      </c>
      <c r="AM21" s="76" t="s">
        <v>19</v>
      </c>
      <c r="AN21" s="75"/>
      <c r="AO21" s="77"/>
      <c r="AP21" s="76"/>
      <c r="AQ21" s="75"/>
      <c r="AR21" s="77"/>
      <c r="AS21" s="76"/>
      <c r="AT21" s="75"/>
      <c r="AU21" s="118"/>
      <c r="AV21" s="76"/>
      <c r="AW21" s="75"/>
      <c r="AX21" s="75"/>
      <c r="AY21" s="76"/>
      <c r="AZ21" s="75"/>
      <c r="BA21" s="77"/>
      <c r="BB21" s="76"/>
      <c r="BC21" s="75"/>
      <c r="BD21" s="77"/>
      <c r="BE21" s="76"/>
      <c r="BF21" s="75" t="s">
        <v>727</v>
      </c>
      <c r="BG21" s="77"/>
      <c r="BH21" s="76" t="s">
        <v>19</v>
      </c>
      <c r="BI21" s="75"/>
      <c r="BJ21" s="75"/>
      <c r="BK21" s="76"/>
      <c r="BL21" s="75"/>
      <c r="BM21" s="77"/>
      <c r="BN21" s="76"/>
      <c r="BO21" s="75"/>
      <c r="BP21" s="77"/>
      <c r="BQ21" s="76"/>
      <c r="BR21" s="75"/>
      <c r="BS21" s="77"/>
      <c r="BT21" s="76"/>
      <c r="BU21" s="75"/>
      <c r="BV21" s="75"/>
      <c r="BW21" s="76"/>
      <c r="BX21" s="75"/>
      <c r="BY21" s="77"/>
      <c r="BZ21" s="76"/>
      <c r="CA21" s="75"/>
      <c r="CB21" s="77" t="s">
        <v>208</v>
      </c>
      <c r="CC21" s="76" t="s">
        <v>19</v>
      </c>
      <c r="CD21" s="75"/>
      <c r="CE21" s="77" t="s">
        <v>705</v>
      </c>
      <c r="CF21" s="76" t="s">
        <v>15</v>
      </c>
      <c r="CG21" s="75" t="s">
        <v>754</v>
      </c>
      <c r="CH21" s="77" t="s">
        <v>111</v>
      </c>
      <c r="CI21" s="76" t="s">
        <v>9</v>
      </c>
      <c r="CJ21" s="75"/>
      <c r="CK21" s="77"/>
      <c r="CL21" s="76"/>
    </row>
    <row r="22" spans="1:90" ht="12.75">
      <c r="A22" s="74"/>
      <c r="B22" s="75"/>
      <c r="C22" s="76"/>
      <c r="D22" s="75"/>
      <c r="E22" s="77"/>
      <c r="F22" s="76"/>
      <c r="G22" s="100" t="s">
        <v>719</v>
      </c>
      <c r="H22" s="77" t="s">
        <v>716</v>
      </c>
      <c r="I22" s="76" t="s">
        <v>9</v>
      </c>
      <c r="J22" s="75"/>
      <c r="K22" s="77"/>
      <c r="L22" s="76"/>
      <c r="M22" s="75"/>
      <c r="N22" s="77"/>
      <c r="O22" s="76"/>
      <c r="P22" s="75"/>
      <c r="Q22" s="75" t="s">
        <v>626</v>
      </c>
      <c r="R22" s="76" t="s">
        <v>19</v>
      </c>
      <c r="S22" s="75"/>
      <c r="T22" s="77"/>
      <c r="U22" s="76"/>
      <c r="V22" s="75"/>
      <c r="W22" s="77"/>
      <c r="X22" s="76"/>
      <c r="Y22" s="75"/>
      <c r="Z22" s="77"/>
      <c r="AA22" s="76"/>
      <c r="AB22" s="75"/>
      <c r="AC22" s="77"/>
      <c r="AD22" s="76"/>
      <c r="AE22" s="75"/>
      <c r="AF22" s="77"/>
      <c r="AG22" s="76"/>
      <c r="AH22" s="75"/>
      <c r="AI22" s="77"/>
      <c r="AJ22" s="76"/>
      <c r="AK22" s="74" t="s">
        <v>724</v>
      </c>
      <c r="AL22" s="77"/>
      <c r="AM22" s="76" t="s">
        <v>19</v>
      </c>
      <c r="AN22" s="75"/>
      <c r="AO22" s="77"/>
      <c r="AP22" s="76"/>
      <c r="AQ22" s="75"/>
      <c r="AR22" s="77"/>
      <c r="AS22" s="76"/>
      <c r="AT22" s="75"/>
      <c r="AU22" s="117"/>
      <c r="AV22" s="76"/>
      <c r="AW22" s="75"/>
      <c r="AX22" s="77"/>
      <c r="AY22" s="76"/>
      <c r="AZ22" s="75"/>
      <c r="BA22" s="75"/>
      <c r="BB22" s="76"/>
      <c r="BC22" s="75"/>
      <c r="BD22" s="75"/>
      <c r="BE22" s="76"/>
      <c r="BF22" s="75"/>
      <c r="BG22" s="75" t="s">
        <v>210</v>
      </c>
      <c r="BH22" s="76" t="s">
        <v>19</v>
      </c>
      <c r="BI22" s="75"/>
      <c r="BJ22" s="75"/>
      <c r="BK22" s="76"/>
      <c r="BL22" s="75"/>
      <c r="BM22" s="75"/>
      <c r="BN22" s="76"/>
      <c r="BO22" s="75"/>
      <c r="BP22" s="77"/>
      <c r="BQ22" s="76"/>
      <c r="BR22" s="75"/>
      <c r="BS22" s="75"/>
      <c r="BT22" s="76"/>
      <c r="BU22" s="75"/>
      <c r="BV22" s="75"/>
      <c r="BW22" s="76"/>
      <c r="BX22" s="75"/>
      <c r="BY22" s="75"/>
      <c r="BZ22" s="76"/>
      <c r="CA22" s="75"/>
      <c r="CB22" s="75" t="s">
        <v>349</v>
      </c>
      <c r="CC22" s="76" t="s">
        <v>19</v>
      </c>
      <c r="CD22" s="75" t="s">
        <v>15</v>
      </c>
      <c r="CE22" s="75" t="s">
        <v>237</v>
      </c>
      <c r="CF22" s="76" t="s">
        <v>9</v>
      </c>
      <c r="CG22" s="75" t="s">
        <v>754</v>
      </c>
      <c r="CH22" s="75" t="s">
        <v>251</v>
      </c>
      <c r="CI22" s="76" t="s">
        <v>9</v>
      </c>
      <c r="CJ22" s="75"/>
      <c r="CK22" s="77"/>
      <c r="CL22" s="76"/>
    </row>
    <row r="23" spans="1:90" ht="12.75">
      <c r="A23" s="74"/>
      <c r="B23" s="75"/>
      <c r="C23" s="76"/>
      <c r="D23" s="75"/>
      <c r="E23" s="77"/>
      <c r="F23" s="76"/>
      <c r="G23" s="100" t="s">
        <v>19</v>
      </c>
      <c r="H23" s="77" t="s">
        <v>521</v>
      </c>
      <c r="I23" s="76" t="s">
        <v>9</v>
      </c>
      <c r="J23" s="75"/>
      <c r="K23" s="77"/>
      <c r="L23" s="76"/>
      <c r="M23" s="75"/>
      <c r="N23" s="77"/>
      <c r="O23" s="76"/>
      <c r="P23" s="75"/>
      <c r="Q23" s="75" t="s">
        <v>329</v>
      </c>
      <c r="R23" s="76" t="s">
        <v>19</v>
      </c>
      <c r="S23" s="75"/>
      <c r="T23" s="77"/>
      <c r="U23" s="76"/>
      <c r="V23" s="75"/>
      <c r="W23" s="77"/>
      <c r="X23" s="76"/>
      <c r="Y23" s="75"/>
      <c r="Z23" s="77"/>
      <c r="AA23" s="76"/>
      <c r="AB23" s="75"/>
      <c r="AC23" s="77"/>
      <c r="AD23" s="76"/>
      <c r="AE23" s="75"/>
      <c r="AF23" s="77"/>
      <c r="AG23" s="76"/>
      <c r="AH23" s="75"/>
      <c r="AI23" s="77"/>
      <c r="AJ23" s="76"/>
      <c r="AK23" s="74"/>
      <c r="AL23" s="77" t="s">
        <v>259</v>
      </c>
      <c r="AM23" s="76" t="s">
        <v>21</v>
      </c>
      <c r="AN23" s="75"/>
      <c r="AO23" s="77"/>
      <c r="AP23" s="76"/>
      <c r="AQ23" s="75"/>
      <c r="AR23" s="77"/>
      <c r="AS23" s="76"/>
      <c r="AT23" s="75"/>
      <c r="AU23" s="117"/>
      <c r="AV23" s="76"/>
      <c r="AW23" s="75"/>
      <c r="AX23" s="77"/>
      <c r="AY23" s="76"/>
      <c r="AZ23" s="75"/>
      <c r="BA23" s="75"/>
      <c r="BB23" s="76"/>
      <c r="BC23" s="75"/>
      <c r="BD23" s="75"/>
      <c r="BE23" s="76"/>
      <c r="BF23" s="75"/>
      <c r="BG23" s="75" t="s">
        <v>208</v>
      </c>
      <c r="BH23" s="76" t="s">
        <v>19</v>
      </c>
      <c r="BI23" s="75"/>
      <c r="BJ23" s="75"/>
      <c r="BK23" s="76"/>
      <c r="BL23" s="75"/>
      <c r="BM23" s="75"/>
      <c r="BN23" s="76"/>
      <c r="BO23" s="75"/>
      <c r="BP23" s="75"/>
      <c r="BQ23" s="76"/>
      <c r="BR23" s="75"/>
      <c r="BS23" s="75"/>
      <c r="BT23" s="76"/>
      <c r="BU23" s="75"/>
      <c r="BV23" s="75"/>
      <c r="BW23" s="76"/>
      <c r="BX23" s="75"/>
      <c r="BY23" s="75"/>
      <c r="BZ23" s="76"/>
      <c r="CA23" s="75" t="s">
        <v>727</v>
      </c>
      <c r="CB23" s="75"/>
      <c r="CC23" s="76" t="s">
        <v>19</v>
      </c>
      <c r="CD23" s="75"/>
      <c r="CE23" s="75"/>
      <c r="CF23" s="76"/>
      <c r="CG23" s="75" t="s">
        <v>754</v>
      </c>
      <c r="CH23" s="75" t="s">
        <v>167</v>
      </c>
      <c r="CI23" s="76" t="s">
        <v>9</v>
      </c>
      <c r="CJ23" s="75"/>
      <c r="CK23" s="75"/>
      <c r="CL23" s="76"/>
    </row>
    <row r="24" spans="1:90" ht="12.75">
      <c r="A24" s="74"/>
      <c r="B24" s="75"/>
      <c r="C24" s="76"/>
      <c r="D24" s="75"/>
      <c r="E24" s="77"/>
      <c r="F24" s="76"/>
      <c r="G24" s="100" t="s">
        <v>19</v>
      </c>
      <c r="H24" s="77" t="s">
        <v>626</v>
      </c>
      <c r="I24" s="76" t="s">
        <v>9</v>
      </c>
      <c r="J24" s="75"/>
      <c r="K24" s="77"/>
      <c r="L24" s="76"/>
      <c r="M24" s="75"/>
      <c r="N24" s="77"/>
      <c r="O24" s="76"/>
      <c r="P24" s="75"/>
      <c r="Q24" s="75" t="s">
        <v>453</v>
      </c>
      <c r="R24" s="76" t="s">
        <v>19</v>
      </c>
      <c r="S24" s="75"/>
      <c r="T24" s="77"/>
      <c r="U24" s="76"/>
      <c r="V24" s="75"/>
      <c r="W24" s="77"/>
      <c r="X24" s="76"/>
      <c r="Y24" s="75"/>
      <c r="Z24" s="77"/>
      <c r="AA24" s="76"/>
      <c r="AB24" s="75"/>
      <c r="AC24" s="77"/>
      <c r="AD24" s="76"/>
      <c r="AE24" s="75"/>
      <c r="AF24" s="77"/>
      <c r="AG24" s="76"/>
      <c r="AH24" s="75"/>
      <c r="AI24" s="77"/>
      <c r="AJ24" s="76"/>
      <c r="AK24" s="74"/>
      <c r="AL24" s="77" t="s">
        <v>362</v>
      </c>
      <c r="AM24" s="76" t="s">
        <v>21</v>
      </c>
      <c r="AN24" s="75"/>
      <c r="AO24" s="77"/>
      <c r="AP24" s="76"/>
      <c r="AQ24" s="75"/>
      <c r="AR24" s="77"/>
      <c r="AS24" s="76"/>
      <c r="AT24" s="75"/>
      <c r="AU24" s="117"/>
      <c r="AV24" s="76"/>
      <c r="AW24" s="75"/>
      <c r="AX24" s="75"/>
      <c r="AY24" s="76"/>
      <c r="AZ24" s="75"/>
      <c r="BA24" s="75"/>
      <c r="BB24" s="76"/>
      <c r="BC24" s="75"/>
      <c r="BD24" s="75"/>
      <c r="BE24" s="76"/>
      <c r="BF24" s="75"/>
      <c r="BG24" s="75" t="s">
        <v>672</v>
      </c>
      <c r="BH24" s="76" t="s">
        <v>15</v>
      </c>
      <c r="BI24" s="75"/>
      <c r="BJ24" s="75"/>
      <c r="BK24" s="76"/>
      <c r="BL24" s="75"/>
      <c r="BM24" s="75"/>
      <c r="BN24" s="76"/>
      <c r="BO24" s="75"/>
      <c r="BP24" s="75"/>
      <c r="BQ24" s="76"/>
      <c r="BR24" s="75"/>
      <c r="BS24" s="75"/>
      <c r="BT24" s="76"/>
      <c r="BU24" s="75"/>
      <c r="BV24" s="75"/>
      <c r="BW24" s="76"/>
      <c r="BX24" s="75"/>
      <c r="BY24" s="75"/>
      <c r="BZ24" s="76"/>
      <c r="CA24" s="75" t="s">
        <v>46</v>
      </c>
      <c r="CB24" s="75" t="s">
        <v>705</v>
      </c>
      <c r="CC24" s="76" t="s">
        <v>15</v>
      </c>
      <c r="CD24" s="75"/>
      <c r="CE24" s="75"/>
      <c r="CF24" s="76"/>
      <c r="CG24" s="75" t="s">
        <v>754</v>
      </c>
      <c r="CH24" s="75" t="s">
        <v>131</v>
      </c>
      <c r="CI24" s="76" t="s">
        <v>9</v>
      </c>
      <c r="CJ24" s="75"/>
      <c r="CK24" s="75"/>
      <c r="CL24" s="76"/>
    </row>
    <row r="25" spans="1:90" ht="12.75">
      <c r="A25" s="74"/>
      <c r="B25" s="75"/>
      <c r="C25" s="76"/>
      <c r="D25" s="75"/>
      <c r="E25" s="77"/>
      <c r="F25" s="76"/>
      <c r="G25" s="74"/>
      <c r="H25" s="77" t="s">
        <v>341</v>
      </c>
      <c r="I25" s="76" t="s">
        <v>19</v>
      </c>
      <c r="J25" s="75"/>
      <c r="K25" s="77"/>
      <c r="L25" s="76"/>
      <c r="M25" s="75"/>
      <c r="N25" s="77"/>
      <c r="O25" s="76"/>
      <c r="P25" s="75"/>
      <c r="Q25" s="75" t="s">
        <v>277</v>
      </c>
      <c r="R25" s="76" t="s">
        <v>19</v>
      </c>
      <c r="S25" s="75"/>
      <c r="T25" s="77"/>
      <c r="U25" s="76"/>
      <c r="V25" s="75"/>
      <c r="W25" s="77"/>
      <c r="X25" s="76"/>
      <c r="Y25" s="75"/>
      <c r="Z25" s="77"/>
      <c r="AA25" s="76"/>
      <c r="AB25" s="75"/>
      <c r="AC25" s="77"/>
      <c r="AD25" s="76"/>
      <c r="AE25" s="75"/>
      <c r="AF25" s="77"/>
      <c r="AG25" s="76"/>
      <c r="AH25" s="75"/>
      <c r="AI25" s="77"/>
      <c r="AJ25" s="76"/>
      <c r="AK25" s="74"/>
      <c r="AL25" s="77" t="s">
        <v>553</v>
      </c>
      <c r="AM25" s="76" t="s">
        <v>21</v>
      </c>
      <c r="AN25" s="75"/>
      <c r="AO25" s="77"/>
      <c r="AP25" s="76"/>
      <c r="AQ25" s="75"/>
      <c r="AR25" s="75"/>
      <c r="AS25" s="76"/>
      <c r="AT25" s="75"/>
      <c r="AU25" s="117"/>
      <c r="AV25" s="76"/>
      <c r="AW25" s="75"/>
      <c r="AX25" s="75"/>
      <c r="AY25" s="76"/>
      <c r="AZ25" s="75"/>
      <c r="BA25" s="75"/>
      <c r="BB25" s="76"/>
      <c r="BC25" s="75"/>
      <c r="BD25" s="75"/>
      <c r="BE25" s="76"/>
      <c r="BF25" s="75"/>
      <c r="BG25" s="75" t="s">
        <v>515</v>
      </c>
      <c r="BH25" s="76" t="s">
        <v>15</v>
      </c>
      <c r="BI25" s="75"/>
      <c r="BJ25" s="77"/>
      <c r="BK25" s="76"/>
      <c r="BL25" s="75"/>
      <c r="BM25" s="75"/>
      <c r="BN25" s="76"/>
      <c r="BO25" s="75"/>
      <c r="BP25" s="75"/>
      <c r="BQ25" s="76"/>
      <c r="BR25" s="75"/>
      <c r="BS25" s="75"/>
      <c r="BT25" s="76"/>
      <c r="BU25" s="75"/>
      <c r="BV25" s="75"/>
      <c r="BW25" s="76"/>
      <c r="BX25" s="75"/>
      <c r="BY25" s="75"/>
      <c r="BZ25" s="76"/>
      <c r="CA25" s="75"/>
      <c r="CB25" s="75"/>
      <c r="CC25" s="76"/>
      <c r="CD25" s="75"/>
      <c r="CE25" s="75"/>
      <c r="CF25" s="76"/>
      <c r="CG25" s="75"/>
      <c r="CH25" s="75"/>
      <c r="CI25" s="76"/>
      <c r="CJ25" s="75"/>
      <c r="CK25" s="75"/>
      <c r="CL25" s="76"/>
    </row>
    <row r="26" spans="1:90" ht="12.75">
      <c r="A26" s="74"/>
      <c r="B26" s="75"/>
      <c r="C26" s="76"/>
      <c r="D26" s="75"/>
      <c r="E26" s="77"/>
      <c r="F26" s="76"/>
      <c r="G26" s="74"/>
      <c r="H26" s="77" t="s">
        <v>341</v>
      </c>
      <c r="I26" s="76" t="s">
        <v>19</v>
      </c>
      <c r="J26" s="75"/>
      <c r="K26" s="77"/>
      <c r="L26" s="76"/>
      <c r="M26" s="75"/>
      <c r="N26" s="77"/>
      <c r="O26" s="76"/>
      <c r="P26" s="75"/>
      <c r="Q26" s="75" t="s">
        <v>330</v>
      </c>
      <c r="R26" s="76" t="s">
        <v>29</v>
      </c>
      <c r="S26" s="75"/>
      <c r="T26" s="77"/>
      <c r="U26" s="76"/>
      <c r="V26" s="75"/>
      <c r="W26" s="77"/>
      <c r="X26" s="76"/>
      <c r="Y26" s="75"/>
      <c r="Z26" s="77"/>
      <c r="AA26" s="76"/>
      <c r="AB26" s="75"/>
      <c r="AC26" s="77"/>
      <c r="AD26" s="76"/>
      <c r="AE26" s="75"/>
      <c r="AF26" s="77"/>
      <c r="AG26" s="76"/>
      <c r="AH26" s="75"/>
      <c r="AI26" s="77"/>
      <c r="AJ26" s="76"/>
      <c r="AK26" s="74"/>
      <c r="AL26" s="77" t="s">
        <v>721</v>
      </c>
      <c r="AM26" s="76" t="s">
        <v>21</v>
      </c>
      <c r="AN26" s="75"/>
      <c r="AO26" s="77"/>
      <c r="AP26" s="76"/>
      <c r="AQ26" s="75"/>
      <c r="AR26" s="75"/>
      <c r="AS26" s="76"/>
      <c r="AT26" s="75"/>
      <c r="AU26" s="117"/>
      <c r="AV26" s="76"/>
      <c r="AW26" s="75"/>
      <c r="AX26" s="75"/>
      <c r="AY26" s="76"/>
      <c r="AZ26" s="75"/>
      <c r="BA26" s="75"/>
      <c r="BB26" s="76"/>
      <c r="BC26" s="75"/>
      <c r="BD26" s="75"/>
      <c r="BE26" s="76"/>
      <c r="BF26" s="75"/>
      <c r="BG26" s="75" t="s">
        <v>608</v>
      </c>
      <c r="BH26" s="76" t="s">
        <v>15</v>
      </c>
      <c r="BI26" s="75"/>
      <c r="BJ26" s="77"/>
      <c r="BK26" s="76"/>
      <c r="BL26" s="75"/>
      <c r="BM26" s="75"/>
      <c r="BN26" s="76"/>
      <c r="BO26" s="75"/>
      <c r="BP26" s="75"/>
      <c r="BQ26" s="76"/>
      <c r="BR26" s="75"/>
      <c r="BS26" s="75"/>
      <c r="BT26" s="76"/>
      <c r="BU26" s="75"/>
      <c r="BV26" s="77"/>
      <c r="BW26" s="76"/>
      <c r="BX26" s="75"/>
      <c r="BY26" s="75"/>
      <c r="BZ26" s="76"/>
      <c r="CA26" s="75"/>
      <c r="CB26" s="75"/>
      <c r="CC26" s="76"/>
      <c r="CD26" s="75"/>
      <c r="CE26" s="75"/>
      <c r="CF26" s="76"/>
      <c r="CG26" s="75"/>
      <c r="CH26" s="75"/>
      <c r="CI26" s="76"/>
      <c r="CJ26" s="75"/>
      <c r="CK26" s="75"/>
      <c r="CL26" s="76"/>
    </row>
    <row r="27" spans="1:90" ht="12.75">
      <c r="A27" s="74"/>
      <c r="B27" s="75"/>
      <c r="C27" s="76"/>
      <c r="D27" s="75"/>
      <c r="E27" s="77"/>
      <c r="F27" s="76"/>
      <c r="G27" s="74"/>
      <c r="H27" s="77" t="s">
        <v>603</v>
      </c>
      <c r="I27" s="76" t="s">
        <v>19</v>
      </c>
      <c r="J27" s="75"/>
      <c r="K27" s="77"/>
      <c r="L27" s="76"/>
      <c r="M27" s="75"/>
      <c r="N27" s="77"/>
      <c r="O27" s="76"/>
      <c r="P27" s="75"/>
      <c r="Q27" s="75" t="s">
        <v>316</v>
      </c>
      <c r="R27" s="76" t="s">
        <v>29</v>
      </c>
      <c r="S27" s="75"/>
      <c r="T27" s="77"/>
      <c r="U27" s="76"/>
      <c r="V27" s="101"/>
      <c r="W27" s="77"/>
      <c r="X27" s="76"/>
      <c r="Y27" s="75"/>
      <c r="Z27" s="77"/>
      <c r="AA27" s="76"/>
      <c r="AB27" s="75"/>
      <c r="AC27" s="77"/>
      <c r="AD27" s="76"/>
      <c r="AE27" s="75"/>
      <c r="AF27" s="77"/>
      <c r="AG27" s="76"/>
      <c r="AH27" s="75"/>
      <c r="AI27" s="77"/>
      <c r="AJ27" s="76"/>
      <c r="AK27" s="74"/>
      <c r="AL27" s="77" t="s">
        <v>616</v>
      </c>
      <c r="AM27" s="76" t="s">
        <v>21</v>
      </c>
      <c r="AN27" s="75"/>
      <c r="AO27" s="77"/>
      <c r="AP27" s="76"/>
      <c r="AQ27" s="75"/>
      <c r="AR27" s="75"/>
      <c r="AS27" s="76"/>
      <c r="AT27" s="75"/>
      <c r="AU27" s="118"/>
      <c r="AV27" s="76"/>
      <c r="AW27" s="75"/>
      <c r="AX27" s="75"/>
      <c r="AY27" s="76"/>
      <c r="AZ27" s="75"/>
      <c r="BA27" s="77"/>
      <c r="BB27" s="76"/>
      <c r="BC27" s="75"/>
      <c r="BD27" s="77"/>
      <c r="BE27" s="76"/>
      <c r="BF27" s="75"/>
      <c r="BG27" s="77" t="s">
        <v>704</v>
      </c>
      <c r="BH27" s="76" t="s">
        <v>15</v>
      </c>
      <c r="BI27" s="75"/>
      <c r="BJ27" s="75"/>
      <c r="BK27" s="76"/>
      <c r="BL27" s="75"/>
      <c r="BM27" s="77"/>
      <c r="BN27" s="76"/>
      <c r="BO27" s="75"/>
      <c r="BP27" s="75"/>
      <c r="BQ27" s="76"/>
      <c r="BR27" s="75"/>
      <c r="BS27" s="77"/>
      <c r="BT27" s="76"/>
      <c r="BU27" s="75"/>
      <c r="BV27" s="77"/>
      <c r="BW27" s="76"/>
      <c r="BX27" s="75"/>
      <c r="BY27" s="77"/>
      <c r="BZ27" s="76"/>
      <c r="CA27" s="75"/>
      <c r="CB27" s="77"/>
      <c r="CC27" s="76"/>
      <c r="CD27" s="75"/>
      <c r="CE27" s="77"/>
      <c r="CF27" s="76"/>
      <c r="CG27" s="75"/>
      <c r="CH27" s="77"/>
      <c r="CI27" s="76"/>
      <c r="CJ27" s="75"/>
      <c r="CK27" s="75"/>
      <c r="CL27" s="76"/>
    </row>
    <row r="28" spans="1:90" ht="12.75">
      <c r="A28" s="74"/>
      <c r="B28" s="75"/>
      <c r="C28" s="76"/>
      <c r="D28" s="75"/>
      <c r="E28" s="77"/>
      <c r="F28" s="76"/>
      <c r="G28" s="74"/>
      <c r="H28" s="77" t="s">
        <v>603</v>
      </c>
      <c r="I28" s="76" t="s">
        <v>19</v>
      </c>
      <c r="J28" s="75"/>
      <c r="K28" s="77"/>
      <c r="L28" s="76"/>
      <c r="M28" s="75"/>
      <c r="N28" s="77"/>
      <c r="O28" s="76"/>
      <c r="P28" s="75"/>
      <c r="Q28" s="75" t="s">
        <v>452</v>
      </c>
      <c r="R28" s="76" t="s">
        <v>29</v>
      </c>
      <c r="S28" s="75"/>
      <c r="T28" s="77"/>
      <c r="U28" s="76"/>
      <c r="V28" s="101"/>
      <c r="W28" s="77"/>
      <c r="X28" s="76"/>
      <c r="Y28" s="75"/>
      <c r="Z28" s="77"/>
      <c r="AA28" s="76"/>
      <c r="AB28" s="75"/>
      <c r="AC28" s="77"/>
      <c r="AD28" s="76"/>
      <c r="AE28" s="75"/>
      <c r="AF28" s="77"/>
      <c r="AG28" s="76"/>
      <c r="AH28" s="75"/>
      <c r="AI28" s="77"/>
      <c r="AJ28" s="76"/>
      <c r="AK28" s="74"/>
      <c r="AL28" s="77" t="s">
        <v>330</v>
      </c>
      <c r="AM28" s="76" t="s">
        <v>29</v>
      </c>
      <c r="AN28" s="75"/>
      <c r="AO28" s="77"/>
      <c r="AP28" s="76"/>
      <c r="AQ28" s="75"/>
      <c r="AR28" s="75"/>
      <c r="AS28" s="76"/>
      <c r="AT28" s="75"/>
      <c r="AU28" s="118"/>
      <c r="AV28" s="76"/>
      <c r="AW28" s="75"/>
      <c r="AX28" s="75"/>
      <c r="AY28" s="76"/>
      <c r="AZ28" s="75"/>
      <c r="BA28" s="77"/>
      <c r="BB28" s="76"/>
      <c r="BC28" s="75"/>
      <c r="BD28" s="77"/>
      <c r="BE28" s="76"/>
      <c r="BF28" s="75"/>
      <c r="BG28" s="77" t="s">
        <v>230</v>
      </c>
      <c r="BH28" s="76" t="s">
        <v>15</v>
      </c>
      <c r="BI28" s="75"/>
      <c r="BJ28" s="75"/>
      <c r="BK28" s="76"/>
      <c r="BL28" s="75"/>
      <c r="BM28" s="77"/>
      <c r="BN28" s="76"/>
      <c r="BO28" s="75"/>
      <c r="BP28" s="77"/>
      <c r="BQ28" s="76"/>
      <c r="BR28" s="75"/>
      <c r="BS28" s="77"/>
      <c r="BT28" s="76"/>
      <c r="BU28" s="75"/>
      <c r="BV28" s="77"/>
      <c r="BW28" s="76"/>
      <c r="BX28" s="75"/>
      <c r="BY28" s="77"/>
      <c r="BZ28" s="76"/>
      <c r="CA28" s="75"/>
      <c r="CB28" s="77"/>
      <c r="CC28" s="76"/>
      <c r="CD28" s="75"/>
      <c r="CE28" s="77"/>
      <c r="CF28" s="76"/>
      <c r="CG28" s="75"/>
      <c r="CH28" s="77"/>
      <c r="CI28" s="76"/>
      <c r="CJ28" s="75"/>
      <c r="CK28" s="77"/>
      <c r="CL28" s="76"/>
    </row>
    <row r="29" spans="1:90" ht="12.75">
      <c r="A29" s="74"/>
      <c r="B29" s="75"/>
      <c r="C29" s="76"/>
      <c r="D29" s="75"/>
      <c r="E29" s="77"/>
      <c r="F29" s="76"/>
      <c r="G29" s="74"/>
      <c r="H29" s="77" t="s">
        <v>604</v>
      </c>
      <c r="I29" s="76" t="s">
        <v>19</v>
      </c>
      <c r="J29" s="75"/>
      <c r="K29" s="77"/>
      <c r="L29" s="76"/>
      <c r="M29" s="75"/>
      <c r="N29" s="77"/>
      <c r="O29" s="76"/>
      <c r="P29" s="75"/>
      <c r="Q29" s="77" t="s">
        <v>647</v>
      </c>
      <c r="R29" s="76" t="s">
        <v>29</v>
      </c>
      <c r="S29" s="75"/>
      <c r="T29" s="77"/>
      <c r="U29" s="76"/>
      <c r="V29" s="101"/>
      <c r="W29" s="77"/>
      <c r="X29" s="76"/>
      <c r="Y29" s="75"/>
      <c r="Z29" s="77"/>
      <c r="AA29" s="76"/>
      <c r="AB29" s="75"/>
      <c r="AC29" s="77"/>
      <c r="AD29" s="76"/>
      <c r="AE29" s="75"/>
      <c r="AF29" s="77"/>
      <c r="AG29" s="76"/>
      <c r="AH29" s="75"/>
      <c r="AI29" s="77"/>
      <c r="AJ29" s="76"/>
      <c r="AK29" s="74"/>
      <c r="AL29" s="77" t="s">
        <v>316</v>
      </c>
      <c r="AM29" s="76" t="s">
        <v>29</v>
      </c>
      <c r="AN29" s="75"/>
      <c r="AO29" s="77"/>
      <c r="AP29" s="76"/>
      <c r="AQ29" s="75"/>
      <c r="AR29" s="75"/>
      <c r="AS29" s="76"/>
      <c r="AT29" s="75"/>
      <c r="AU29" s="118"/>
      <c r="AV29" s="76"/>
      <c r="AW29" s="75"/>
      <c r="AX29" s="77"/>
      <c r="AY29" s="76"/>
      <c r="AZ29" s="75"/>
      <c r="BA29" s="77"/>
      <c r="BB29" s="76"/>
      <c r="BC29" s="75"/>
      <c r="BD29" s="77"/>
      <c r="BE29" s="76"/>
      <c r="BF29" s="75"/>
      <c r="BG29" s="77" t="s">
        <v>707</v>
      </c>
      <c r="BH29" s="76" t="s">
        <v>15</v>
      </c>
      <c r="BI29" s="75"/>
      <c r="BJ29" s="75"/>
      <c r="BK29" s="76"/>
      <c r="BL29" s="75"/>
      <c r="BM29" s="77"/>
      <c r="BN29" s="76"/>
      <c r="BO29" s="75"/>
      <c r="BP29" s="77"/>
      <c r="BQ29" s="76"/>
      <c r="BR29" s="75"/>
      <c r="BS29" s="77"/>
      <c r="BT29" s="76"/>
      <c r="BU29" s="75"/>
      <c r="BV29" s="75"/>
      <c r="BW29" s="76"/>
      <c r="BX29" s="75"/>
      <c r="BY29" s="77"/>
      <c r="BZ29" s="76"/>
      <c r="CA29" s="75"/>
      <c r="CB29" s="77"/>
      <c r="CC29" s="76"/>
      <c r="CD29" s="75"/>
      <c r="CE29" s="77"/>
      <c r="CF29" s="76"/>
      <c r="CG29" s="75"/>
      <c r="CH29" s="77"/>
      <c r="CI29" s="76"/>
      <c r="CJ29" s="75"/>
      <c r="CK29" s="77"/>
      <c r="CL29" s="76"/>
    </row>
    <row r="30" spans="1:90" ht="12.75">
      <c r="A30" s="74"/>
      <c r="B30" s="75"/>
      <c r="C30" s="76"/>
      <c r="D30" s="75"/>
      <c r="E30" s="77"/>
      <c r="F30" s="76"/>
      <c r="G30" s="74"/>
      <c r="H30" s="77" t="s">
        <v>604</v>
      </c>
      <c r="I30" s="76" t="s">
        <v>19</v>
      </c>
      <c r="J30" s="75"/>
      <c r="K30" s="77"/>
      <c r="L30" s="76"/>
      <c r="M30" s="75"/>
      <c r="N30" s="77"/>
      <c r="O30" s="76"/>
      <c r="P30" s="75"/>
      <c r="Q30" s="77" t="s">
        <v>480</v>
      </c>
      <c r="R30" s="76" t="s">
        <v>25</v>
      </c>
      <c r="S30" s="75"/>
      <c r="T30" s="77"/>
      <c r="U30" s="76"/>
      <c r="V30" s="75"/>
      <c r="W30" s="77"/>
      <c r="X30" s="76"/>
      <c r="Y30" s="75"/>
      <c r="Z30" s="77"/>
      <c r="AA30" s="76"/>
      <c r="AB30" s="75"/>
      <c r="AC30" s="77"/>
      <c r="AD30" s="76"/>
      <c r="AE30" s="75"/>
      <c r="AF30" s="77"/>
      <c r="AG30" s="76"/>
      <c r="AH30" s="75"/>
      <c r="AI30" s="77"/>
      <c r="AJ30" s="76"/>
      <c r="AK30" s="74"/>
      <c r="AL30" s="77" t="s">
        <v>452</v>
      </c>
      <c r="AM30" s="76" t="s">
        <v>29</v>
      </c>
      <c r="AN30" s="75"/>
      <c r="AO30" s="77"/>
      <c r="AP30" s="76"/>
      <c r="AQ30" s="75"/>
      <c r="AR30" s="77"/>
      <c r="AS30" s="76"/>
      <c r="AT30" s="75"/>
      <c r="AU30" s="117"/>
      <c r="AV30" s="76"/>
      <c r="AW30" s="75"/>
      <c r="AX30" s="77"/>
      <c r="AY30" s="76"/>
      <c r="AZ30" s="75"/>
      <c r="BA30" s="75"/>
      <c r="BB30" s="76"/>
      <c r="BC30" s="75"/>
      <c r="BD30" s="75"/>
      <c r="BE30" s="76"/>
      <c r="BF30" s="75"/>
      <c r="BG30" s="75"/>
      <c r="BH30" s="76"/>
      <c r="BI30" s="75"/>
      <c r="BJ30" s="77"/>
      <c r="BK30" s="76"/>
      <c r="BL30" s="75"/>
      <c r="BM30" s="75"/>
      <c r="BN30" s="76"/>
      <c r="BO30" s="75"/>
      <c r="BP30" s="77"/>
      <c r="BQ30" s="76"/>
      <c r="BR30" s="75"/>
      <c r="BS30" s="75"/>
      <c r="BT30" s="76"/>
      <c r="BU30" s="75"/>
      <c r="BV30" s="75"/>
      <c r="BW30" s="76"/>
      <c r="BX30" s="75"/>
      <c r="BY30" s="75"/>
      <c r="BZ30" s="76"/>
      <c r="CA30" s="75"/>
      <c r="CB30" s="75"/>
      <c r="CC30" s="76"/>
      <c r="CD30" s="75"/>
      <c r="CE30" s="75"/>
      <c r="CF30" s="76"/>
      <c r="CG30" s="75"/>
      <c r="CH30" s="75"/>
      <c r="CI30" s="76"/>
      <c r="CJ30" s="75"/>
      <c r="CK30" s="77"/>
      <c r="CL30" s="76"/>
    </row>
    <row r="31" spans="1:90" ht="12.75">
      <c r="A31" s="74"/>
      <c r="B31" s="75"/>
      <c r="C31" s="76"/>
      <c r="D31" s="75"/>
      <c r="E31" s="77"/>
      <c r="F31" s="76"/>
      <c r="G31" s="100"/>
      <c r="H31" s="77" t="s">
        <v>588</v>
      </c>
      <c r="I31" s="76" t="s">
        <v>19</v>
      </c>
      <c r="J31" s="75"/>
      <c r="K31" s="77"/>
      <c r="L31" s="76"/>
      <c r="M31" s="75"/>
      <c r="N31" s="77"/>
      <c r="O31" s="76"/>
      <c r="P31" s="75"/>
      <c r="Q31" s="77" t="s">
        <v>480</v>
      </c>
      <c r="R31" s="76" t="s">
        <v>25</v>
      </c>
      <c r="S31" s="75"/>
      <c r="T31" s="77"/>
      <c r="U31" s="76"/>
      <c r="V31" s="75"/>
      <c r="W31" s="77"/>
      <c r="X31" s="76"/>
      <c r="Y31" s="75"/>
      <c r="Z31" s="77"/>
      <c r="AA31" s="76"/>
      <c r="AB31" s="75"/>
      <c r="AC31" s="77"/>
      <c r="AD31" s="76"/>
      <c r="AE31" s="75"/>
      <c r="AF31" s="77"/>
      <c r="AG31" s="76"/>
      <c r="AH31" s="75"/>
      <c r="AI31" s="77"/>
      <c r="AJ31" s="76"/>
      <c r="AK31" s="74" t="s">
        <v>725</v>
      </c>
      <c r="AL31" s="77"/>
      <c r="AM31" s="76" t="s">
        <v>29</v>
      </c>
      <c r="AN31" s="75"/>
      <c r="AO31" s="77"/>
      <c r="AP31" s="76"/>
      <c r="AQ31" s="75"/>
      <c r="AR31" s="77"/>
      <c r="AS31" s="76"/>
      <c r="AT31" s="75"/>
      <c r="AU31" s="117"/>
      <c r="AV31" s="76"/>
      <c r="AW31" s="75"/>
      <c r="AX31" s="77"/>
      <c r="AY31" s="76"/>
      <c r="AZ31" s="75"/>
      <c r="BA31" s="75"/>
      <c r="BB31" s="76"/>
      <c r="BC31" s="75"/>
      <c r="BD31" s="75"/>
      <c r="BE31" s="76"/>
      <c r="BF31" s="75"/>
      <c r="BG31" s="75"/>
      <c r="BH31" s="76"/>
      <c r="BI31" s="75"/>
      <c r="BJ31" s="77"/>
      <c r="BK31" s="76"/>
      <c r="BL31" s="75"/>
      <c r="BM31" s="75"/>
      <c r="BN31" s="76"/>
      <c r="BO31" s="75"/>
      <c r="BP31" s="75"/>
      <c r="BQ31" s="76"/>
      <c r="BR31" s="75"/>
      <c r="BS31" s="75"/>
      <c r="BT31" s="76"/>
      <c r="BU31" s="75"/>
      <c r="BV31" s="75"/>
      <c r="BW31" s="76"/>
      <c r="BX31" s="75"/>
      <c r="BY31" s="75"/>
      <c r="BZ31" s="76"/>
      <c r="CA31" s="75"/>
      <c r="CB31" s="75"/>
      <c r="CC31" s="76"/>
      <c r="CD31" s="75"/>
      <c r="CE31" s="75"/>
      <c r="CF31" s="76"/>
      <c r="CG31" s="75"/>
      <c r="CH31" s="75"/>
      <c r="CI31" s="76"/>
      <c r="CJ31" s="75"/>
      <c r="CK31" s="75"/>
      <c r="CL31" s="76"/>
    </row>
    <row r="32" spans="1:90" ht="12.75">
      <c r="A32" s="74"/>
      <c r="B32" s="75"/>
      <c r="C32" s="76"/>
      <c r="D32" s="75"/>
      <c r="E32" s="77"/>
      <c r="F32" s="76"/>
      <c r="G32" s="100"/>
      <c r="H32" s="77" t="s">
        <v>588</v>
      </c>
      <c r="I32" s="76" t="s">
        <v>19</v>
      </c>
      <c r="J32" s="75"/>
      <c r="K32" s="77"/>
      <c r="L32" s="76"/>
      <c r="M32" s="75"/>
      <c r="N32" s="77"/>
      <c r="O32" s="76"/>
      <c r="P32" s="75"/>
      <c r="Q32" s="75" t="s">
        <v>538</v>
      </c>
      <c r="R32" s="76" t="s">
        <v>25</v>
      </c>
      <c r="S32" s="75"/>
      <c r="T32" s="77"/>
      <c r="U32" s="76"/>
      <c r="V32" s="75"/>
      <c r="W32" s="77"/>
      <c r="X32" s="76"/>
      <c r="Y32" s="75"/>
      <c r="Z32" s="77"/>
      <c r="AA32" s="76"/>
      <c r="AB32" s="75"/>
      <c r="AC32" s="77"/>
      <c r="AD32" s="76"/>
      <c r="AE32" s="75"/>
      <c r="AF32" s="77"/>
      <c r="AG32" s="76"/>
      <c r="AH32" s="75"/>
      <c r="AI32" s="77"/>
      <c r="AJ32" s="76"/>
      <c r="AK32" s="74"/>
      <c r="AL32" s="77" t="s">
        <v>672</v>
      </c>
      <c r="AM32" s="76" t="s">
        <v>15</v>
      </c>
      <c r="AN32" s="75"/>
      <c r="AO32" s="77"/>
      <c r="AP32" s="76"/>
      <c r="AQ32" s="75"/>
      <c r="AR32" s="77"/>
      <c r="AS32" s="76"/>
      <c r="AT32" s="75"/>
      <c r="AU32" s="117"/>
      <c r="AV32" s="76"/>
      <c r="AW32" s="75"/>
      <c r="AX32" s="75"/>
      <c r="AY32" s="76"/>
      <c r="AZ32" s="75"/>
      <c r="BA32" s="75"/>
      <c r="BB32" s="76"/>
      <c r="BC32" s="75"/>
      <c r="BD32" s="75"/>
      <c r="BE32" s="76"/>
      <c r="BF32" s="75"/>
      <c r="BG32" s="75"/>
      <c r="BH32" s="76"/>
      <c r="BI32" s="75"/>
      <c r="BJ32" s="77"/>
      <c r="BK32" s="76"/>
      <c r="BL32" s="75"/>
      <c r="BM32" s="75"/>
      <c r="BN32" s="76"/>
      <c r="BO32" s="75"/>
      <c r="BP32" s="75"/>
      <c r="BQ32" s="76"/>
      <c r="BR32" s="75"/>
      <c r="BS32" s="75"/>
      <c r="BT32" s="76"/>
      <c r="BU32" s="75"/>
      <c r="BV32" s="77"/>
      <c r="BW32" s="76"/>
      <c r="BX32" s="75"/>
      <c r="BY32" s="75"/>
      <c r="BZ32" s="76"/>
      <c r="CA32" s="75"/>
      <c r="CB32" s="75"/>
      <c r="CC32" s="76"/>
      <c r="CD32" s="75"/>
      <c r="CE32" s="75"/>
      <c r="CF32" s="76"/>
      <c r="CG32" s="75"/>
      <c r="CH32" s="75"/>
      <c r="CI32" s="76"/>
      <c r="CJ32" s="75"/>
      <c r="CK32" s="75"/>
      <c r="CL32" s="76"/>
    </row>
    <row r="33" spans="1:90" ht="12.75">
      <c r="A33" s="74"/>
      <c r="B33" s="75"/>
      <c r="C33" s="76"/>
      <c r="D33" s="75"/>
      <c r="E33" s="77"/>
      <c r="F33" s="76"/>
      <c r="G33" s="100"/>
      <c r="H33" s="77" t="s">
        <v>315</v>
      </c>
      <c r="I33" s="76" t="s">
        <v>19</v>
      </c>
      <c r="J33" s="75"/>
      <c r="K33" s="77"/>
      <c r="L33" s="76"/>
      <c r="M33" s="75"/>
      <c r="N33" s="77"/>
      <c r="O33" s="76"/>
      <c r="P33" s="75"/>
      <c r="Q33" s="77" t="s">
        <v>672</v>
      </c>
      <c r="R33" s="76" t="s">
        <v>15</v>
      </c>
      <c r="S33" s="75"/>
      <c r="T33" s="77"/>
      <c r="U33" s="76"/>
      <c r="V33" s="75"/>
      <c r="W33" s="77"/>
      <c r="X33" s="76"/>
      <c r="Y33" s="75"/>
      <c r="Z33" s="77"/>
      <c r="AA33" s="76"/>
      <c r="AB33" s="75"/>
      <c r="AC33" s="77"/>
      <c r="AD33" s="76"/>
      <c r="AE33" s="75"/>
      <c r="AF33" s="77"/>
      <c r="AG33" s="76"/>
      <c r="AH33" s="75"/>
      <c r="AI33" s="77"/>
      <c r="AJ33" s="76"/>
      <c r="AK33" s="74"/>
      <c r="AL33" s="77" t="s">
        <v>515</v>
      </c>
      <c r="AM33" s="76" t="s">
        <v>15</v>
      </c>
      <c r="AN33" s="75"/>
      <c r="AO33" s="77"/>
      <c r="AP33" s="76"/>
      <c r="AQ33" s="75"/>
      <c r="AR33" s="77"/>
      <c r="AS33" s="76"/>
      <c r="AT33" s="75"/>
      <c r="AU33" s="118"/>
      <c r="AV33" s="76"/>
      <c r="AW33" s="75"/>
      <c r="AX33" s="75"/>
      <c r="AY33" s="76"/>
      <c r="AZ33" s="75"/>
      <c r="BA33" s="77"/>
      <c r="BB33" s="76"/>
      <c r="BC33" s="75"/>
      <c r="BD33" s="77"/>
      <c r="BE33" s="76"/>
      <c r="BF33" s="75"/>
      <c r="BG33" s="77"/>
      <c r="BH33" s="76"/>
      <c r="BI33" s="75"/>
      <c r="BJ33" s="77"/>
      <c r="BK33" s="76"/>
      <c r="BL33" s="75"/>
      <c r="BM33" s="77"/>
      <c r="BN33" s="76"/>
      <c r="BO33" s="75"/>
      <c r="BP33" s="75"/>
      <c r="BQ33" s="76"/>
      <c r="BR33" s="75"/>
      <c r="BS33" s="77"/>
      <c r="BT33" s="76"/>
      <c r="BU33" s="75"/>
      <c r="BV33" s="77"/>
      <c r="BW33" s="76"/>
      <c r="BX33" s="75"/>
      <c r="BY33" s="77"/>
      <c r="BZ33" s="76"/>
      <c r="CA33" s="75"/>
      <c r="CB33" s="77"/>
      <c r="CC33" s="76"/>
      <c r="CD33" s="75"/>
      <c r="CE33" s="77"/>
      <c r="CF33" s="76"/>
      <c r="CG33" s="75"/>
      <c r="CH33" s="77"/>
      <c r="CI33" s="76"/>
      <c r="CJ33" s="75"/>
      <c r="CK33" s="75"/>
      <c r="CL33" s="76"/>
    </row>
    <row r="34" spans="1:90" ht="12.75">
      <c r="A34" s="74"/>
      <c r="B34" s="75"/>
      <c r="C34" s="76"/>
      <c r="D34" s="75"/>
      <c r="E34" s="77"/>
      <c r="F34" s="76"/>
      <c r="G34" s="100"/>
      <c r="H34" s="77"/>
      <c r="I34" s="76"/>
      <c r="J34" s="75"/>
      <c r="K34" s="77"/>
      <c r="L34" s="76"/>
      <c r="M34" s="75"/>
      <c r="N34" s="77"/>
      <c r="O34" s="76"/>
      <c r="P34" s="75"/>
      <c r="Q34" s="77" t="s">
        <v>515</v>
      </c>
      <c r="R34" s="76" t="s">
        <v>15</v>
      </c>
      <c r="S34" s="75"/>
      <c r="T34" s="77"/>
      <c r="U34" s="76"/>
      <c r="V34" s="75"/>
      <c r="W34" s="77"/>
      <c r="X34" s="76"/>
      <c r="Y34" s="75"/>
      <c r="Z34" s="77"/>
      <c r="AA34" s="76"/>
      <c r="AB34" s="75"/>
      <c r="AC34" s="77"/>
      <c r="AD34" s="76"/>
      <c r="AE34" s="75"/>
      <c r="AF34" s="77"/>
      <c r="AG34" s="76"/>
      <c r="AH34" s="75"/>
      <c r="AI34" s="77"/>
      <c r="AJ34" s="76"/>
      <c r="AK34" s="74"/>
      <c r="AL34" s="77" t="s">
        <v>567</v>
      </c>
      <c r="AM34" s="76" t="s">
        <v>15</v>
      </c>
      <c r="AN34" s="75"/>
      <c r="AO34" s="77"/>
      <c r="AP34" s="76"/>
      <c r="AQ34" s="75"/>
      <c r="AR34" s="77"/>
      <c r="AS34" s="76"/>
      <c r="AT34" s="75"/>
      <c r="AU34" s="118"/>
      <c r="AV34" s="76"/>
      <c r="AW34" s="75"/>
      <c r="AX34" s="75"/>
      <c r="AY34" s="76"/>
      <c r="AZ34" s="75"/>
      <c r="BA34" s="77"/>
      <c r="BB34" s="76"/>
      <c r="BC34" s="75"/>
      <c r="BD34" s="77"/>
      <c r="BE34" s="76"/>
      <c r="BF34" s="75"/>
      <c r="BG34" s="77"/>
      <c r="BH34" s="76"/>
      <c r="BI34" s="75"/>
      <c r="BJ34" s="77"/>
      <c r="BK34" s="76"/>
      <c r="BL34" s="75"/>
      <c r="BM34" s="77"/>
      <c r="BN34" s="76"/>
      <c r="BO34" s="75"/>
      <c r="BP34" s="77"/>
      <c r="BQ34" s="76"/>
      <c r="BR34" s="75"/>
      <c r="BS34" s="77"/>
      <c r="BT34" s="76"/>
      <c r="BU34" s="75"/>
      <c r="BV34" s="77"/>
      <c r="BW34" s="76"/>
      <c r="BX34" s="75"/>
      <c r="BY34" s="77"/>
      <c r="BZ34" s="76"/>
      <c r="CA34" s="75"/>
      <c r="CB34" s="77"/>
      <c r="CC34" s="76"/>
      <c r="CD34" s="75"/>
      <c r="CE34" s="77"/>
      <c r="CF34" s="76"/>
      <c r="CG34" s="75"/>
      <c r="CH34" s="77"/>
      <c r="CI34" s="76"/>
      <c r="CJ34" s="75"/>
      <c r="CK34" s="77"/>
      <c r="CL34" s="76"/>
    </row>
    <row r="35" spans="1:90" ht="12.75">
      <c r="A35" s="74"/>
      <c r="B35" s="75"/>
      <c r="C35" s="76"/>
      <c r="D35" s="75"/>
      <c r="E35" s="77"/>
      <c r="F35" s="76"/>
      <c r="G35" s="74"/>
      <c r="H35" s="77"/>
      <c r="I35" s="76"/>
      <c r="J35" s="75"/>
      <c r="K35" s="77"/>
      <c r="L35" s="76"/>
      <c r="M35" s="75"/>
      <c r="N35" s="77"/>
      <c r="O35" s="76"/>
      <c r="P35" s="75"/>
      <c r="Q35" s="77" t="s">
        <v>567</v>
      </c>
      <c r="R35" s="76" t="s">
        <v>15</v>
      </c>
      <c r="S35" s="75"/>
      <c r="T35" s="77"/>
      <c r="U35" s="76"/>
      <c r="V35" s="75"/>
      <c r="W35" s="77"/>
      <c r="X35" s="76"/>
      <c r="Y35" s="75"/>
      <c r="Z35" s="77"/>
      <c r="AA35" s="76"/>
      <c r="AB35" s="75"/>
      <c r="AC35" s="77"/>
      <c r="AD35" s="76"/>
      <c r="AE35" s="75"/>
      <c r="AF35" s="77"/>
      <c r="AG35" s="76"/>
      <c r="AH35" s="75"/>
      <c r="AI35" s="77"/>
      <c r="AJ35" s="76"/>
      <c r="AK35" s="74"/>
      <c r="AL35" s="77" t="s">
        <v>608</v>
      </c>
      <c r="AM35" s="76" t="s">
        <v>15</v>
      </c>
      <c r="AN35" s="75"/>
      <c r="AO35" s="77"/>
      <c r="AP35" s="76"/>
      <c r="AQ35" s="75"/>
      <c r="AR35" s="77"/>
      <c r="AS35" s="76"/>
      <c r="AT35" s="75"/>
      <c r="AU35" s="118"/>
      <c r="AV35" s="76"/>
      <c r="AW35" s="75"/>
      <c r="AX35" s="77"/>
      <c r="AY35" s="76"/>
      <c r="AZ35" s="75"/>
      <c r="BA35" s="77"/>
      <c r="BB35" s="76"/>
      <c r="BC35" s="75"/>
      <c r="BD35" s="77"/>
      <c r="BE35" s="76"/>
      <c r="BF35" s="75"/>
      <c r="BG35" s="77"/>
      <c r="BH35" s="76"/>
      <c r="BI35" s="75"/>
      <c r="BJ35" s="77"/>
      <c r="BK35" s="76"/>
      <c r="BL35" s="75"/>
      <c r="BM35" s="77"/>
      <c r="BN35" s="76"/>
      <c r="BO35" s="75"/>
      <c r="BP35" s="77"/>
      <c r="BQ35" s="76"/>
      <c r="BR35" s="75"/>
      <c r="BS35" s="77"/>
      <c r="BT35" s="76"/>
      <c r="BU35" s="75"/>
      <c r="BV35" s="77"/>
      <c r="BW35" s="76"/>
      <c r="BX35" s="75"/>
      <c r="BY35" s="77"/>
      <c r="BZ35" s="76"/>
      <c r="CA35" s="75"/>
      <c r="CB35" s="77"/>
      <c r="CC35" s="76"/>
      <c r="CD35" s="75"/>
      <c r="CE35" s="77"/>
      <c r="CF35" s="76"/>
      <c r="CG35" s="75"/>
      <c r="CH35" s="77"/>
      <c r="CI35" s="76"/>
      <c r="CJ35" s="75"/>
      <c r="CK35" s="77"/>
      <c r="CL35" s="76"/>
    </row>
    <row r="36" spans="1:90" ht="12.75">
      <c r="A36" s="74"/>
      <c r="B36" s="75"/>
      <c r="C36" s="76"/>
      <c r="D36" s="75"/>
      <c r="E36" s="77"/>
      <c r="F36" s="76"/>
      <c r="G36" s="100"/>
      <c r="H36" s="77"/>
      <c r="I36" s="76"/>
      <c r="J36" s="75"/>
      <c r="K36" s="77"/>
      <c r="L36" s="76"/>
      <c r="M36" s="75"/>
      <c r="N36" s="77"/>
      <c r="O36" s="76"/>
      <c r="P36" s="75"/>
      <c r="Q36" s="77" t="s">
        <v>559</v>
      </c>
      <c r="R36" s="76" t="s">
        <v>15</v>
      </c>
      <c r="S36" s="75"/>
      <c r="T36" s="77"/>
      <c r="U36" s="76"/>
      <c r="V36" s="75"/>
      <c r="W36" s="77"/>
      <c r="X36" s="76"/>
      <c r="Y36" s="75"/>
      <c r="Z36" s="77"/>
      <c r="AA36" s="76"/>
      <c r="AB36" s="75"/>
      <c r="AC36" s="77"/>
      <c r="AD36" s="76"/>
      <c r="AE36" s="75"/>
      <c r="AF36" s="77"/>
      <c r="AG36" s="76"/>
      <c r="AH36" s="75"/>
      <c r="AI36" s="77"/>
      <c r="AJ36" s="76"/>
      <c r="AK36" s="74"/>
      <c r="AL36" s="77" t="s">
        <v>559</v>
      </c>
      <c r="AM36" s="76" t="s">
        <v>15</v>
      </c>
      <c r="AN36" s="75"/>
      <c r="AO36" s="77"/>
      <c r="AP36" s="76"/>
      <c r="AQ36" s="75"/>
      <c r="AR36" s="77"/>
      <c r="AS36" s="76"/>
      <c r="AT36" s="75"/>
      <c r="AU36" s="118"/>
      <c r="AV36" s="76"/>
      <c r="AW36" s="75"/>
      <c r="AX36" s="77"/>
      <c r="AY36" s="76"/>
      <c r="AZ36" s="75"/>
      <c r="BA36" s="77"/>
      <c r="BB36" s="76"/>
      <c r="BC36" s="75"/>
      <c r="BD36" s="77"/>
      <c r="BE36" s="76"/>
      <c r="BF36" s="75"/>
      <c r="BG36" s="77"/>
      <c r="BH36" s="76"/>
      <c r="BI36" s="75"/>
      <c r="BJ36" s="77"/>
      <c r="BK36" s="76"/>
      <c r="BL36" s="75"/>
      <c r="BM36" s="77"/>
      <c r="BN36" s="76"/>
      <c r="BO36" s="75"/>
      <c r="BP36" s="77"/>
      <c r="BQ36" s="76"/>
      <c r="BR36" s="75"/>
      <c r="BS36" s="77"/>
      <c r="BT36" s="76"/>
      <c r="BU36" s="75"/>
      <c r="BV36" s="77"/>
      <c r="BW36" s="76"/>
      <c r="BX36" s="75"/>
      <c r="BY36" s="77"/>
      <c r="BZ36" s="76"/>
      <c r="CA36" s="75"/>
      <c r="CB36" s="77"/>
      <c r="CC36" s="76"/>
      <c r="CD36" s="75"/>
      <c r="CE36" s="77"/>
      <c r="CF36" s="76"/>
      <c r="CG36" s="75"/>
      <c r="CH36" s="77"/>
      <c r="CI36" s="76"/>
      <c r="CJ36" s="75"/>
      <c r="CK36" s="77"/>
      <c r="CL36" s="76"/>
    </row>
    <row r="37" spans="1:90" ht="12.75">
      <c r="A37" s="74"/>
      <c r="B37" s="75"/>
      <c r="C37" s="76"/>
      <c r="D37" s="75"/>
      <c r="E37" s="77"/>
      <c r="F37" s="76"/>
      <c r="G37" s="100"/>
      <c r="H37" s="77"/>
      <c r="I37" s="76"/>
      <c r="J37" s="75"/>
      <c r="K37" s="77"/>
      <c r="L37" s="76"/>
      <c r="M37" s="75"/>
      <c r="N37" s="77"/>
      <c r="O37" s="76"/>
      <c r="P37" s="75"/>
      <c r="Q37" s="77" t="s">
        <v>473</v>
      </c>
      <c r="R37" s="76" t="s">
        <v>15</v>
      </c>
      <c r="S37" s="75"/>
      <c r="T37" s="77"/>
      <c r="U37" s="76"/>
      <c r="V37" s="75"/>
      <c r="W37" s="77"/>
      <c r="X37" s="76"/>
      <c r="Y37" s="75"/>
      <c r="Z37" s="77"/>
      <c r="AA37" s="76"/>
      <c r="AB37" s="75"/>
      <c r="AC37" s="77"/>
      <c r="AD37" s="76"/>
      <c r="AE37" s="75"/>
      <c r="AF37" s="77"/>
      <c r="AG37" s="76"/>
      <c r="AH37" s="75"/>
      <c r="AI37" s="77"/>
      <c r="AJ37" s="76"/>
      <c r="AK37" s="74"/>
      <c r="AL37" s="77" t="s">
        <v>473</v>
      </c>
      <c r="AM37" s="76" t="s">
        <v>15</v>
      </c>
      <c r="AN37" s="75"/>
      <c r="AO37" s="77"/>
      <c r="AP37" s="76"/>
      <c r="AQ37" s="75"/>
      <c r="AR37" s="77"/>
      <c r="AS37" s="76"/>
      <c r="AT37" s="75"/>
      <c r="AU37" s="118"/>
      <c r="AV37" s="76"/>
      <c r="AW37" s="75"/>
      <c r="AX37" s="77"/>
      <c r="AY37" s="76"/>
      <c r="AZ37" s="75"/>
      <c r="BA37" s="77"/>
      <c r="BB37" s="76"/>
      <c r="BC37" s="75"/>
      <c r="BD37" s="77"/>
      <c r="BE37" s="76"/>
      <c r="BF37" s="75"/>
      <c r="BG37" s="77"/>
      <c r="BH37" s="76"/>
      <c r="BI37" s="75"/>
      <c r="BJ37" s="77"/>
      <c r="BK37" s="76"/>
      <c r="BL37" s="75"/>
      <c r="BM37" s="77"/>
      <c r="BN37" s="76"/>
      <c r="BO37" s="75"/>
      <c r="BP37" s="77"/>
      <c r="BQ37" s="76"/>
      <c r="BR37" s="75"/>
      <c r="BS37" s="77"/>
      <c r="BT37" s="76"/>
      <c r="BU37" s="75"/>
      <c r="BV37" s="77"/>
      <c r="BW37" s="76"/>
      <c r="BX37" s="75"/>
      <c r="BY37" s="77"/>
      <c r="BZ37" s="76"/>
      <c r="CA37" s="75"/>
      <c r="CB37" s="77"/>
      <c r="CC37" s="76"/>
      <c r="CD37" s="75"/>
      <c r="CE37" s="77"/>
      <c r="CF37" s="76"/>
      <c r="CG37" s="75"/>
      <c r="CH37" s="77"/>
      <c r="CI37" s="76"/>
      <c r="CJ37" s="75"/>
      <c r="CK37" s="77"/>
      <c r="CL37" s="76"/>
    </row>
    <row r="38" spans="1:90" ht="12.75">
      <c r="A38" s="74"/>
      <c r="B38" s="75"/>
      <c r="C38" s="76"/>
      <c r="D38" s="75"/>
      <c r="E38" s="77"/>
      <c r="F38" s="76"/>
      <c r="G38" s="74"/>
      <c r="H38" s="77"/>
      <c r="I38" s="76"/>
      <c r="J38" s="75"/>
      <c r="K38" s="77"/>
      <c r="L38" s="76"/>
      <c r="M38" s="75"/>
      <c r="N38" s="77"/>
      <c r="O38" s="76"/>
      <c r="P38" s="75"/>
      <c r="Q38" s="77" t="s">
        <v>366</v>
      </c>
      <c r="R38" s="76" t="s">
        <v>15</v>
      </c>
      <c r="S38" s="75"/>
      <c r="T38" s="77"/>
      <c r="U38" s="76"/>
      <c r="V38" s="75"/>
      <c r="W38" s="77"/>
      <c r="X38" s="76"/>
      <c r="Y38" s="75"/>
      <c r="Z38" s="77"/>
      <c r="AA38" s="76"/>
      <c r="AB38" s="75"/>
      <c r="AC38" s="77"/>
      <c r="AD38" s="76"/>
      <c r="AE38" s="75"/>
      <c r="AF38" s="77"/>
      <c r="AG38" s="76"/>
      <c r="AH38" s="75"/>
      <c r="AI38" s="77"/>
      <c r="AJ38" s="76"/>
      <c r="AK38" s="74"/>
      <c r="AL38" s="77" t="s">
        <v>332</v>
      </c>
      <c r="AM38" s="76" t="s">
        <v>15</v>
      </c>
      <c r="AN38" s="75"/>
      <c r="AO38" s="77"/>
      <c r="AP38" s="76"/>
      <c r="AQ38" s="75"/>
      <c r="AR38" s="77"/>
      <c r="AS38" s="76"/>
      <c r="AT38" s="75"/>
      <c r="AU38" s="118"/>
      <c r="AV38" s="76"/>
      <c r="AW38" s="75"/>
      <c r="AX38" s="77"/>
      <c r="AY38" s="76"/>
      <c r="AZ38" s="75"/>
      <c r="BA38" s="77"/>
      <c r="BB38" s="76"/>
      <c r="BC38" s="75"/>
      <c r="BD38" s="77"/>
      <c r="BE38" s="76"/>
      <c r="BF38" s="75"/>
      <c r="BG38" s="77"/>
      <c r="BH38" s="76"/>
      <c r="BI38" s="75"/>
      <c r="BJ38" s="77"/>
      <c r="BK38" s="76"/>
      <c r="BL38" s="75"/>
      <c r="BM38" s="77"/>
      <c r="BN38" s="76"/>
      <c r="BO38" s="75"/>
      <c r="BP38" s="77"/>
      <c r="BQ38" s="76"/>
      <c r="BR38" s="75"/>
      <c r="BS38" s="77"/>
      <c r="BT38" s="76"/>
      <c r="BU38" s="75"/>
      <c r="BV38" s="77"/>
      <c r="BW38" s="76"/>
      <c r="BX38" s="75"/>
      <c r="BY38" s="77"/>
      <c r="BZ38" s="76"/>
      <c r="CA38" s="75"/>
      <c r="CB38" s="77"/>
      <c r="CC38" s="76"/>
      <c r="CD38" s="75"/>
      <c r="CE38" s="77"/>
      <c r="CF38" s="76"/>
      <c r="CG38" s="75"/>
      <c r="CH38" s="77"/>
      <c r="CI38" s="76"/>
      <c r="CJ38" s="75"/>
      <c r="CK38" s="77"/>
      <c r="CL38" s="76"/>
    </row>
    <row r="39" spans="1:90" ht="12.75">
      <c r="A39" s="74"/>
      <c r="B39" s="75"/>
      <c r="C39" s="76"/>
      <c r="D39" s="75"/>
      <c r="E39" s="77"/>
      <c r="F39" s="76"/>
      <c r="G39" s="74"/>
      <c r="H39" s="77"/>
      <c r="I39" s="76"/>
      <c r="J39" s="75"/>
      <c r="K39" s="77"/>
      <c r="L39" s="76"/>
      <c r="M39" s="75"/>
      <c r="N39" s="77"/>
      <c r="O39" s="76"/>
      <c r="P39" s="75"/>
      <c r="Q39" s="77" t="s">
        <v>230</v>
      </c>
      <c r="R39" s="76" t="s">
        <v>15</v>
      </c>
      <c r="S39" s="75"/>
      <c r="T39" s="77"/>
      <c r="U39" s="76"/>
      <c r="V39" s="75"/>
      <c r="W39" s="77"/>
      <c r="X39" s="76"/>
      <c r="Y39" s="75"/>
      <c r="Z39" s="77"/>
      <c r="AA39" s="76"/>
      <c r="AB39" s="75"/>
      <c r="AC39" s="77"/>
      <c r="AD39" s="76"/>
      <c r="AE39" s="75"/>
      <c r="AF39" s="77"/>
      <c r="AG39" s="76"/>
      <c r="AH39" s="75"/>
      <c r="AI39" s="77"/>
      <c r="AJ39" s="76"/>
      <c r="AK39" s="74"/>
      <c r="AL39" s="77"/>
      <c r="AM39" s="76"/>
      <c r="AN39" s="75"/>
      <c r="AO39" s="77"/>
      <c r="AP39" s="76"/>
      <c r="AQ39" s="75"/>
      <c r="AR39" s="77"/>
      <c r="AS39" s="76"/>
      <c r="AT39" s="75"/>
      <c r="AU39" s="118"/>
      <c r="AV39" s="76"/>
      <c r="AW39" s="75"/>
      <c r="AX39" s="77"/>
      <c r="AY39" s="76"/>
      <c r="AZ39" s="75"/>
      <c r="BA39" s="77"/>
      <c r="BB39" s="76"/>
      <c r="BC39" s="75"/>
      <c r="BD39" s="77"/>
      <c r="BE39" s="76"/>
      <c r="BF39" s="75"/>
      <c r="BG39" s="77"/>
      <c r="BH39" s="76"/>
      <c r="BI39" s="75"/>
      <c r="BJ39" s="77"/>
      <c r="BK39" s="76"/>
      <c r="BL39" s="75"/>
      <c r="BM39" s="77"/>
      <c r="BN39" s="76"/>
      <c r="BO39" s="75"/>
      <c r="BP39" s="77"/>
      <c r="BQ39" s="76"/>
      <c r="BR39" s="75"/>
      <c r="BS39" s="77"/>
      <c r="BT39" s="76"/>
      <c r="BU39" s="75"/>
      <c r="BV39" s="77"/>
      <c r="BW39" s="76"/>
      <c r="BX39" s="75"/>
      <c r="BY39" s="77"/>
      <c r="BZ39" s="76"/>
      <c r="CA39" s="75"/>
      <c r="CB39" s="77"/>
      <c r="CC39" s="76"/>
      <c r="CD39" s="75"/>
      <c r="CE39" s="77"/>
      <c r="CF39" s="76"/>
      <c r="CG39" s="75"/>
      <c r="CH39" s="77"/>
      <c r="CI39" s="76"/>
      <c r="CJ39" s="75"/>
      <c r="CK39" s="77"/>
      <c r="CL39" s="76"/>
    </row>
    <row r="40" spans="1:90" ht="12.75">
      <c r="A40" s="74"/>
      <c r="B40" s="75"/>
      <c r="C40" s="76"/>
      <c r="D40" s="75"/>
      <c r="E40" s="77"/>
      <c r="F40" s="76"/>
      <c r="G40" s="74"/>
      <c r="H40" s="77"/>
      <c r="I40" s="76"/>
      <c r="J40" s="75"/>
      <c r="K40" s="77"/>
      <c r="L40" s="76"/>
      <c r="M40" s="75"/>
      <c r="N40" s="77"/>
      <c r="O40" s="76"/>
      <c r="P40" s="101" t="s">
        <v>15</v>
      </c>
      <c r="Q40" s="77" t="s">
        <v>594</v>
      </c>
      <c r="R40" s="76" t="s">
        <v>19</v>
      </c>
      <c r="S40" s="75"/>
      <c r="T40" s="77"/>
      <c r="U40" s="76"/>
      <c r="V40" s="75"/>
      <c r="W40" s="77"/>
      <c r="X40" s="76"/>
      <c r="Y40" s="75"/>
      <c r="Z40" s="77"/>
      <c r="AA40" s="76"/>
      <c r="AB40" s="75"/>
      <c r="AC40" s="77"/>
      <c r="AD40" s="76"/>
      <c r="AE40" s="75"/>
      <c r="AF40" s="77"/>
      <c r="AG40" s="76"/>
      <c r="AH40" s="75"/>
      <c r="AI40" s="77"/>
      <c r="AJ40" s="76"/>
      <c r="AK40" s="74"/>
      <c r="AL40" s="77"/>
      <c r="AM40" s="76"/>
      <c r="AN40" s="75"/>
      <c r="AO40" s="77"/>
      <c r="AP40" s="76"/>
      <c r="AQ40" s="75"/>
      <c r="AR40" s="77"/>
      <c r="AS40" s="76"/>
      <c r="AT40" s="75"/>
      <c r="AU40" s="118"/>
      <c r="AV40" s="76"/>
      <c r="AW40" s="75"/>
      <c r="AX40" s="77"/>
      <c r="AY40" s="76"/>
      <c r="AZ40" s="75"/>
      <c r="BA40" s="77"/>
      <c r="BB40" s="76"/>
      <c r="BC40" s="75"/>
      <c r="BD40" s="77"/>
      <c r="BE40" s="76"/>
      <c r="BF40" s="75"/>
      <c r="BG40" s="77"/>
      <c r="BH40" s="76"/>
      <c r="BI40" s="75"/>
      <c r="BJ40" s="77"/>
      <c r="BK40" s="76"/>
      <c r="BL40" s="75"/>
      <c r="BM40" s="77"/>
      <c r="BN40" s="76"/>
      <c r="BO40" s="75"/>
      <c r="BP40" s="77"/>
      <c r="BQ40" s="76"/>
      <c r="BR40" s="75"/>
      <c r="BS40" s="77"/>
      <c r="BT40" s="76"/>
      <c r="BU40" s="75"/>
      <c r="BV40" s="77"/>
      <c r="BW40" s="76"/>
      <c r="BX40" s="75"/>
      <c r="BY40" s="77"/>
      <c r="BZ40" s="76"/>
      <c r="CA40" s="75"/>
      <c r="CB40" s="77"/>
      <c r="CC40" s="76"/>
      <c r="CD40" s="75"/>
      <c r="CE40" s="77"/>
      <c r="CF40" s="76"/>
      <c r="CG40" s="75"/>
      <c r="CH40" s="77"/>
      <c r="CI40" s="76"/>
      <c r="CJ40" s="75"/>
      <c r="CK40" s="77"/>
      <c r="CL40" s="76"/>
    </row>
    <row r="41" spans="1:90" ht="12.75">
      <c r="A41" s="74"/>
      <c r="B41" s="77"/>
      <c r="C41" s="76"/>
      <c r="D41" s="75"/>
      <c r="E41" s="77"/>
      <c r="F41" s="76"/>
      <c r="G41" s="74"/>
      <c r="H41" s="77"/>
      <c r="I41" s="76"/>
      <c r="J41" s="75"/>
      <c r="K41" s="77"/>
      <c r="L41" s="76"/>
      <c r="M41" s="75"/>
      <c r="N41" s="77"/>
      <c r="O41" s="76"/>
      <c r="P41" s="101" t="s">
        <v>15</v>
      </c>
      <c r="Q41" s="77" t="s">
        <v>206</v>
      </c>
      <c r="R41" s="76" t="s">
        <v>9</v>
      </c>
      <c r="S41" s="75"/>
      <c r="T41" s="77"/>
      <c r="U41" s="76"/>
      <c r="V41" s="75"/>
      <c r="W41" s="77"/>
      <c r="X41" s="76"/>
      <c r="Y41" s="75"/>
      <c r="Z41" s="77"/>
      <c r="AA41" s="76"/>
      <c r="AB41" s="75"/>
      <c r="AC41" s="77"/>
      <c r="AD41" s="76"/>
      <c r="AE41" s="75"/>
      <c r="AF41" s="77"/>
      <c r="AG41" s="76"/>
      <c r="AH41" s="75"/>
      <c r="AI41" s="77"/>
      <c r="AJ41" s="76"/>
      <c r="AK41" s="74"/>
      <c r="AL41" s="77"/>
      <c r="AM41" s="76"/>
      <c r="AN41" s="75"/>
      <c r="AO41" s="77"/>
      <c r="AP41" s="76"/>
      <c r="AQ41" s="75"/>
      <c r="AR41" s="77"/>
      <c r="AS41" s="76"/>
      <c r="AT41" s="75"/>
      <c r="AU41" s="118"/>
      <c r="AV41" s="76"/>
      <c r="AW41" s="75"/>
      <c r="AX41" s="77"/>
      <c r="AY41" s="76"/>
      <c r="AZ41" s="75"/>
      <c r="BA41" s="77"/>
      <c r="BB41" s="76"/>
      <c r="BC41" s="75"/>
      <c r="BD41" s="77"/>
      <c r="BE41" s="76"/>
      <c r="BF41" s="75"/>
      <c r="BG41" s="77"/>
      <c r="BH41" s="76"/>
      <c r="BI41" s="75"/>
      <c r="BJ41" s="77"/>
      <c r="BK41" s="76"/>
      <c r="BL41" s="75"/>
      <c r="BM41" s="77"/>
      <c r="BN41" s="76"/>
      <c r="BO41" s="75"/>
      <c r="BP41" s="77"/>
      <c r="BQ41" s="76"/>
      <c r="BR41" s="75"/>
      <c r="BS41" s="77"/>
      <c r="BT41" s="76"/>
      <c r="BU41" s="75"/>
      <c r="BV41" s="77"/>
      <c r="BW41" s="76"/>
      <c r="BX41" s="75"/>
      <c r="BY41" s="77"/>
      <c r="BZ41" s="76"/>
      <c r="CA41" s="75"/>
      <c r="CB41" s="77"/>
      <c r="CC41" s="76"/>
      <c r="CD41" s="75"/>
      <c r="CE41" s="77"/>
      <c r="CF41" s="76"/>
      <c r="CG41" s="75"/>
      <c r="CH41" s="77"/>
      <c r="CI41" s="76"/>
      <c r="CJ41" s="75"/>
      <c r="CK41" s="77"/>
      <c r="CL41" s="76"/>
    </row>
    <row r="42" spans="1:90" ht="12.75">
      <c r="A42" s="74"/>
      <c r="B42" s="77"/>
      <c r="C42" s="76"/>
      <c r="D42" s="75"/>
      <c r="E42" s="77"/>
      <c r="F42" s="76"/>
      <c r="G42" s="74"/>
      <c r="H42" s="77"/>
      <c r="I42" s="76"/>
      <c r="J42" s="75"/>
      <c r="K42" s="77"/>
      <c r="L42" s="76"/>
      <c r="M42" s="75"/>
      <c r="N42" s="77"/>
      <c r="O42" s="76"/>
      <c r="P42" s="101" t="s">
        <v>15</v>
      </c>
      <c r="Q42" s="77" t="s">
        <v>711</v>
      </c>
      <c r="R42" s="76" t="s">
        <v>9</v>
      </c>
      <c r="S42" s="75"/>
      <c r="T42" s="77"/>
      <c r="U42" s="76"/>
      <c r="V42" s="75"/>
      <c r="W42" s="77"/>
      <c r="X42" s="76"/>
      <c r="Y42" s="75"/>
      <c r="Z42" s="77"/>
      <c r="AA42" s="76"/>
      <c r="AB42" s="75"/>
      <c r="AC42" s="77"/>
      <c r="AD42" s="76"/>
      <c r="AE42" s="75"/>
      <c r="AF42" s="77"/>
      <c r="AG42" s="76"/>
      <c r="AH42" s="75"/>
      <c r="AI42" s="77"/>
      <c r="AJ42" s="76"/>
      <c r="AK42" s="74"/>
      <c r="AL42" s="77"/>
      <c r="AM42" s="76"/>
      <c r="AN42" s="75"/>
      <c r="AO42" s="77"/>
      <c r="AP42" s="76"/>
      <c r="AQ42" s="75"/>
      <c r="AR42" s="77"/>
      <c r="AS42" s="76"/>
      <c r="AT42" s="75"/>
      <c r="AU42" s="118"/>
      <c r="AV42" s="76"/>
      <c r="AW42" s="75"/>
      <c r="AX42" s="77"/>
      <c r="AY42" s="76"/>
      <c r="AZ42" s="75"/>
      <c r="BA42" s="77"/>
      <c r="BB42" s="76"/>
      <c r="BC42" s="75"/>
      <c r="BD42" s="77"/>
      <c r="BE42" s="76"/>
      <c r="BF42" s="75"/>
      <c r="BG42" s="77"/>
      <c r="BH42" s="76"/>
      <c r="BI42" s="75"/>
      <c r="BJ42" s="77"/>
      <c r="BK42" s="76"/>
      <c r="BL42" s="75"/>
      <c r="BM42" s="77"/>
      <c r="BN42" s="76"/>
      <c r="BO42" s="75"/>
      <c r="BP42" s="77"/>
      <c r="BQ42" s="76"/>
      <c r="BR42" s="75"/>
      <c r="BS42" s="77"/>
      <c r="BT42" s="76"/>
      <c r="BU42" s="75"/>
      <c r="BV42" s="77"/>
      <c r="BW42" s="76"/>
      <c r="BX42" s="75"/>
      <c r="BY42" s="77"/>
      <c r="BZ42" s="76"/>
      <c r="CA42" s="75"/>
      <c r="CB42" s="77"/>
      <c r="CC42" s="76"/>
      <c r="CD42" s="75"/>
      <c r="CE42" s="77"/>
      <c r="CF42" s="76"/>
      <c r="CG42" s="75"/>
      <c r="CH42" s="77"/>
      <c r="CI42" s="76"/>
      <c r="CJ42" s="75"/>
      <c r="CK42" s="77"/>
      <c r="CL42" s="76"/>
    </row>
    <row r="43" spans="1:90" ht="12.75">
      <c r="A43" s="74"/>
      <c r="B43" s="77"/>
      <c r="C43" s="76"/>
      <c r="D43" s="75"/>
      <c r="E43" s="77"/>
      <c r="F43" s="76"/>
      <c r="G43" s="74"/>
      <c r="H43" s="77"/>
      <c r="I43" s="76"/>
      <c r="J43" s="75"/>
      <c r="K43" s="77"/>
      <c r="L43" s="76"/>
      <c r="M43" s="75"/>
      <c r="N43" s="77"/>
      <c r="O43" s="76"/>
      <c r="P43" s="101" t="s">
        <v>15</v>
      </c>
      <c r="Q43" s="77" t="s">
        <v>701</v>
      </c>
      <c r="R43" s="76" t="s">
        <v>9</v>
      </c>
      <c r="S43" s="75"/>
      <c r="T43" s="77"/>
      <c r="U43" s="76"/>
      <c r="V43" s="75"/>
      <c r="W43" s="77"/>
      <c r="X43" s="76"/>
      <c r="Y43" s="75"/>
      <c r="Z43" s="77"/>
      <c r="AA43" s="76"/>
      <c r="AB43" s="75"/>
      <c r="AC43" s="77"/>
      <c r="AD43" s="76"/>
      <c r="AE43" s="75"/>
      <c r="AF43" s="77"/>
      <c r="AG43" s="76"/>
      <c r="AH43" s="75"/>
      <c r="AI43" s="77"/>
      <c r="AJ43" s="76"/>
      <c r="AK43" s="74"/>
      <c r="AL43" s="77"/>
      <c r="AM43" s="76"/>
      <c r="AN43" s="75"/>
      <c r="AO43" s="77"/>
      <c r="AP43" s="76"/>
      <c r="AQ43" s="75"/>
      <c r="AR43" s="77"/>
      <c r="AS43" s="76"/>
      <c r="AT43" s="75"/>
      <c r="AU43" s="118"/>
      <c r="AV43" s="76"/>
      <c r="AW43" s="75"/>
      <c r="AX43" s="77"/>
      <c r="AY43" s="76"/>
      <c r="AZ43" s="75"/>
      <c r="BA43" s="77"/>
      <c r="BB43" s="76"/>
      <c r="BC43" s="75"/>
      <c r="BD43" s="77"/>
      <c r="BE43" s="76"/>
      <c r="BF43" s="75"/>
      <c r="BG43" s="77"/>
      <c r="BH43" s="76"/>
      <c r="BI43" s="75"/>
      <c r="BJ43" s="77"/>
      <c r="BK43" s="76"/>
      <c r="BL43" s="75"/>
      <c r="BM43" s="77"/>
      <c r="BN43" s="76"/>
      <c r="BO43" s="75"/>
      <c r="BP43" s="77"/>
      <c r="BQ43" s="76"/>
      <c r="BR43" s="75"/>
      <c r="BS43" s="77"/>
      <c r="BT43" s="76"/>
      <c r="BU43" s="75"/>
      <c r="BV43" s="77"/>
      <c r="BW43" s="76"/>
      <c r="BX43" s="75"/>
      <c r="BY43" s="77"/>
      <c r="BZ43" s="76"/>
      <c r="CA43" s="75"/>
      <c r="CB43" s="77"/>
      <c r="CC43" s="76"/>
      <c r="CD43" s="75"/>
      <c r="CE43" s="77"/>
      <c r="CF43" s="76"/>
      <c r="CG43" s="75"/>
      <c r="CH43" s="77"/>
      <c r="CI43" s="76"/>
      <c r="CJ43" s="75"/>
      <c r="CK43" s="77"/>
      <c r="CL43" s="76"/>
    </row>
    <row r="44" spans="1:90" ht="12.75">
      <c r="A44" s="74"/>
      <c r="B44" s="77"/>
      <c r="C44" s="76"/>
      <c r="D44" s="75"/>
      <c r="E44" s="77"/>
      <c r="F44" s="76"/>
      <c r="G44" s="74"/>
      <c r="H44" s="77"/>
      <c r="I44" s="76"/>
      <c r="J44" s="75"/>
      <c r="K44" s="77"/>
      <c r="L44" s="76"/>
      <c r="M44" s="75"/>
      <c r="N44" s="77"/>
      <c r="O44" s="76"/>
      <c r="P44" s="101" t="s">
        <v>15</v>
      </c>
      <c r="Q44" s="77" t="s">
        <v>651</v>
      </c>
      <c r="R44" s="76" t="s">
        <v>9</v>
      </c>
      <c r="S44" s="75"/>
      <c r="T44" s="77"/>
      <c r="U44" s="76"/>
      <c r="V44" s="75"/>
      <c r="W44" s="77"/>
      <c r="X44" s="76"/>
      <c r="Y44" s="75"/>
      <c r="Z44" s="77"/>
      <c r="AA44" s="76"/>
      <c r="AB44" s="75"/>
      <c r="AC44" s="77"/>
      <c r="AD44" s="76"/>
      <c r="AE44" s="75"/>
      <c r="AF44" s="77"/>
      <c r="AG44" s="76"/>
      <c r="AH44" s="75"/>
      <c r="AI44" s="77"/>
      <c r="AJ44" s="76"/>
      <c r="AK44" s="74"/>
      <c r="AL44" s="77"/>
      <c r="AM44" s="76"/>
      <c r="AN44" s="75"/>
      <c r="AO44" s="77"/>
      <c r="AP44" s="76"/>
      <c r="AQ44" s="75"/>
      <c r="AR44" s="77"/>
      <c r="AS44" s="76"/>
      <c r="AT44" s="75"/>
      <c r="AU44" s="118"/>
      <c r="AV44" s="76"/>
      <c r="AW44" s="75"/>
      <c r="AX44" s="77"/>
      <c r="AY44" s="76"/>
      <c r="AZ44" s="75"/>
      <c r="BA44" s="77"/>
      <c r="BB44" s="76"/>
      <c r="BC44" s="75"/>
      <c r="BD44" s="77"/>
      <c r="BE44" s="76"/>
      <c r="BF44" s="75"/>
      <c r="BG44" s="77"/>
      <c r="BH44" s="76"/>
      <c r="BI44" s="75"/>
      <c r="BJ44" s="77"/>
      <c r="BK44" s="76"/>
      <c r="BL44" s="75"/>
      <c r="BM44" s="77"/>
      <c r="BN44" s="76"/>
      <c r="BO44" s="75"/>
      <c r="BP44" s="77"/>
      <c r="BQ44" s="76"/>
      <c r="BR44" s="75"/>
      <c r="BS44" s="77"/>
      <c r="BT44" s="76"/>
      <c r="BU44" s="75"/>
      <c r="BV44" s="77"/>
      <c r="BW44" s="76"/>
      <c r="BX44" s="75"/>
      <c r="BY44" s="77"/>
      <c r="BZ44" s="76"/>
      <c r="CA44" s="75"/>
      <c r="CB44" s="77"/>
      <c r="CC44" s="76"/>
      <c r="CD44" s="75"/>
      <c r="CE44" s="77"/>
      <c r="CF44" s="76"/>
      <c r="CG44" s="75"/>
      <c r="CH44" s="77"/>
      <c r="CI44" s="76"/>
      <c r="CJ44" s="75"/>
      <c r="CK44" s="77"/>
      <c r="CL44" s="76"/>
    </row>
    <row r="45" spans="1:90" ht="12.75">
      <c r="A45" s="74"/>
      <c r="B45" s="77"/>
      <c r="C45" s="76"/>
      <c r="D45" s="75"/>
      <c r="E45" s="77"/>
      <c r="F45" s="76"/>
      <c r="G45" s="74"/>
      <c r="H45" s="77"/>
      <c r="I45" s="76"/>
      <c r="J45" s="75"/>
      <c r="K45" s="77"/>
      <c r="L45" s="76"/>
      <c r="M45" s="75"/>
      <c r="N45" s="77"/>
      <c r="O45" s="76"/>
      <c r="P45" s="101" t="s">
        <v>15</v>
      </c>
      <c r="Q45" s="77" t="s">
        <v>455</v>
      </c>
      <c r="R45" s="76" t="s">
        <v>9</v>
      </c>
      <c r="S45" s="75"/>
      <c r="T45" s="77"/>
      <c r="U45" s="76"/>
      <c r="V45" s="75"/>
      <c r="W45" s="77"/>
      <c r="X45" s="76"/>
      <c r="Y45" s="75"/>
      <c r="Z45" s="77"/>
      <c r="AA45" s="76"/>
      <c r="AB45" s="75"/>
      <c r="AC45" s="77"/>
      <c r="AD45" s="76"/>
      <c r="AE45" s="75"/>
      <c r="AF45" s="77"/>
      <c r="AG45" s="76"/>
      <c r="AH45" s="75"/>
      <c r="AI45" s="77"/>
      <c r="AJ45" s="76"/>
      <c r="AK45" s="74"/>
      <c r="AL45" s="77"/>
      <c r="AM45" s="76"/>
      <c r="AN45" s="75"/>
      <c r="AO45" s="77"/>
      <c r="AP45" s="76"/>
      <c r="AQ45" s="75"/>
      <c r="AR45" s="77"/>
      <c r="AS45" s="76"/>
      <c r="AT45" s="75"/>
      <c r="AU45" s="118"/>
      <c r="AV45" s="76"/>
      <c r="AW45" s="75"/>
      <c r="AX45" s="77"/>
      <c r="AY45" s="76"/>
      <c r="AZ45" s="75"/>
      <c r="BA45" s="77"/>
      <c r="BB45" s="76"/>
      <c r="BC45" s="75"/>
      <c r="BD45" s="77"/>
      <c r="BE45" s="76"/>
      <c r="BF45" s="75"/>
      <c r="BG45" s="77"/>
      <c r="BH45" s="76"/>
      <c r="BI45" s="75"/>
      <c r="BJ45" s="77"/>
      <c r="BK45" s="76"/>
      <c r="BL45" s="75"/>
      <c r="BM45" s="77"/>
      <c r="BN45" s="76"/>
      <c r="BO45" s="75"/>
      <c r="BP45" s="77"/>
      <c r="BQ45" s="76"/>
      <c r="BR45" s="75"/>
      <c r="BS45" s="77"/>
      <c r="BT45" s="76"/>
      <c r="BU45" s="75"/>
      <c r="BV45" s="77"/>
      <c r="BW45" s="76"/>
      <c r="BX45" s="75"/>
      <c r="BY45" s="77"/>
      <c r="BZ45" s="76"/>
      <c r="CA45" s="75"/>
      <c r="CB45" s="77"/>
      <c r="CC45" s="76"/>
      <c r="CD45" s="75"/>
      <c r="CE45" s="77"/>
      <c r="CF45" s="76"/>
      <c r="CG45" s="75"/>
      <c r="CH45" s="77"/>
      <c r="CI45" s="76"/>
      <c r="CJ45" s="75"/>
      <c r="CK45" s="77"/>
      <c r="CL45" s="76"/>
    </row>
    <row r="46" spans="1:90" ht="12.75">
      <c r="A46" s="74"/>
      <c r="B46" s="77"/>
      <c r="C46" s="76"/>
      <c r="D46" s="75"/>
      <c r="E46" s="77"/>
      <c r="F46" s="76"/>
      <c r="G46" s="74"/>
      <c r="H46" s="77"/>
      <c r="I46" s="76"/>
      <c r="J46" s="75"/>
      <c r="K46" s="77"/>
      <c r="L46" s="76"/>
      <c r="M46" s="75"/>
      <c r="N46" s="77"/>
      <c r="O46" s="76"/>
      <c r="P46" s="101" t="s">
        <v>15</v>
      </c>
      <c r="Q46" s="77" t="s">
        <v>655</v>
      </c>
      <c r="R46" s="76" t="s">
        <v>9</v>
      </c>
      <c r="S46" s="75"/>
      <c r="T46" s="77"/>
      <c r="U46" s="76"/>
      <c r="V46" s="75"/>
      <c r="W46" s="77"/>
      <c r="X46" s="76"/>
      <c r="Y46" s="75"/>
      <c r="Z46" s="77"/>
      <c r="AA46" s="76"/>
      <c r="AB46" s="75"/>
      <c r="AC46" s="77"/>
      <c r="AD46" s="76"/>
      <c r="AE46" s="75"/>
      <c r="AF46" s="77"/>
      <c r="AG46" s="76"/>
      <c r="AH46" s="75"/>
      <c r="AI46" s="77"/>
      <c r="AJ46" s="76"/>
      <c r="AK46" s="74"/>
      <c r="AL46" s="77"/>
      <c r="AM46" s="76"/>
      <c r="AN46" s="75"/>
      <c r="AO46" s="77"/>
      <c r="AP46" s="76"/>
      <c r="AQ46" s="75"/>
      <c r="AR46" s="77"/>
      <c r="AS46" s="76"/>
      <c r="AT46" s="75"/>
      <c r="AU46" s="118"/>
      <c r="AV46" s="76"/>
      <c r="AW46" s="75"/>
      <c r="AX46" s="77"/>
      <c r="AY46" s="76"/>
      <c r="AZ46" s="75"/>
      <c r="BA46" s="77"/>
      <c r="BB46" s="76"/>
      <c r="BC46" s="75"/>
      <c r="BD46" s="77"/>
      <c r="BE46" s="76"/>
      <c r="BF46" s="75"/>
      <c r="BG46" s="77"/>
      <c r="BH46" s="76"/>
      <c r="BI46" s="75"/>
      <c r="BJ46" s="77"/>
      <c r="BK46" s="76"/>
      <c r="BL46" s="75"/>
      <c r="BM46" s="77"/>
      <c r="BN46" s="76"/>
      <c r="BO46" s="75"/>
      <c r="BP46" s="77"/>
      <c r="BQ46" s="76"/>
      <c r="BR46" s="75"/>
      <c r="BS46" s="77"/>
      <c r="BT46" s="76"/>
      <c r="BU46" s="75"/>
      <c r="BV46" s="77"/>
      <c r="BW46" s="76"/>
      <c r="BX46" s="75"/>
      <c r="BY46" s="77"/>
      <c r="BZ46" s="76"/>
      <c r="CA46" s="75"/>
      <c r="CB46" s="77"/>
      <c r="CC46" s="76"/>
      <c r="CD46" s="75"/>
      <c r="CE46" s="77"/>
      <c r="CF46" s="76"/>
      <c r="CG46" s="75"/>
      <c r="CH46" s="77"/>
      <c r="CI46" s="76"/>
      <c r="CJ46" s="75"/>
      <c r="CK46" s="77"/>
      <c r="CL46" s="76"/>
    </row>
    <row r="47" spans="1:90" ht="12.75">
      <c r="A47" s="74"/>
      <c r="B47" s="77"/>
      <c r="C47" s="76"/>
      <c r="D47" s="75"/>
      <c r="E47" s="77"/>
      <c r="F47" s="76"/>
      <c r="G47" s="74"/>
      <c r="H47" s="77"/>
      <c r="I47" s="76"/>
      <c r="J47" s="75"/>
      <c r="K47" s="77"/>
      <c r="L47" s="76"/>
      <c r="M47" s="75"/>
      <c r="N47" s="77"/>
      <c r="O47" s="76"/>
      <c r="P47" s="101" t="s">
        <v>15</v>
      </c>
      <c r="Q47" s="77" t="s">
        <v>745</v>
      </c>
      <c r="R47" s="76" t="s">
        <v>9</v>
      </c>
      <c r="S47" s="75"/>
      <c r="T47" s="77"/>
      <c r="U47" s="76"/>
      <c r="V47" s="75"/>
      <c r="W47" s="77"/>
      <c r="X47" s="76"/>
      <c r="Y47" s="75"/>
      <c r="Z47" s="77"/>
      <c r="AA47" s="76"/>
      <c r="AB47" s="75"/>
      <c r="AC47" s="77"/>
      <c r="AD47" s="76"/>
      <c r="AE47" s="75"/>
      <c r="AF47" s="77"/>
      <c r="AG47" s="76"/>
      <c r="AH47" s="75"/>
      <c r="AI47" s="77"/>
      <c r="AJ47" s="76"/>
      <c r="AK47" s="74"/>
      <c r="AL47" s="77"/>
      <c r="AM47" s="76"/>
      <c r="AN47" s="75"/>
      <c r="AO47" s="77"/>
      <c r="AP47" s="76"/>
      <c r="AQ47" s="75"/>
      <c r="AR47" s="77"/>
      <c r="AS47" s="76"/>
      <c r="AT47" s="75"/>
      <c r="AU47" s="118"/>
      <c r="AV47" s="76"/>
      <c r="AW47" s="75"/>
      <c r="AX47" s="77"/>
      <c r="AY47" s="76"/>
      <c r="AZ47" s="75"/>
      <c r="BA47" s="77"/>
      <c r="BB47" s="76"/>
      <c r="BC47" s="75"/>
      <c r="BD47" s="77"/>
      <c r="BE47" s="76"/>
      <c r="BF47" s="75"/>
      <c r="BG47" s="77"/>
      <c r="BH47" s="76"/>
      <c r="BI47" s="75"/>
      <c r="BJ47" s="77"/>
      <c r="BK47" s="76"/>
      <c r="BL47" s="75"/>
      <c r="BM47" s="77"/>
      <c r="BN47" s="76"/>
      <c r="BO47" s="75"/>
      <c r="BP47" s="77"/>
      <c r="BQ47" s="76"/>
      <c r="BR47" s="75"/>
      <c r="BS47" s="77"/>
      <c r="BT47" s="76"/>
      <c r="BU47" s="75"/>
      <c r="BV47" s="77"/>
      <c r="BW47" s="76"/>
      <c r="BX47" s="75"/>
      <c r="BY47" s="77"/>
      <c r="BZ47" s="76"/>
      <c r="CA47" s="75"/>
      <c r="CB47" s="77"/>
      <c r="CC47" s="76"/>
      <c r="CD47" s="75"/>
      <c r="CE47" s="77"/>
      <c r="CF47" s="76"/>
      <c r="CG47" s="75"/>
      <c r="CH47" s="77"/>
      <c r="CI47" s="76"/>
      <c r="CJ47" s="75"/>
      <c r="CK47" s="77"/>
      <c r="CL47" s="76"/>
    </row>
    <row r="48" spans="1:90" ht="12.75">
      <c r="A48" s="74"/>
      <c r="B48" s="77"/>
      <c r="C48" s="76"/>
      <c r="D48" s="75"/>
      <c r="E48" s="77"/>
      <c r="F48" s="76"/>
      <c r="G48" s="74"/>
      <c r="H48" s="77"/>
      <c r="I48" s="76"/>
      <c r="J48" s="75"/>
      <c r="K48" s="77"/>
      <c r="L48" s="76"/>
      <c r="M48" s="75"/>
      <c r="N48" s="77"/>
      <c r="O48" s="76"/>
      <c r="P48" s="75"/>
      <c r="Q48" s="77" t="s">
        <v>109</v>
      </c>
      <c r="R48" s="76" t="s">
        <v>9</v>
      </c>
      <c r="S48" s="75"/>
      <c r="T48" s="77"/>
      <c r="U48" s="76"/>
      <c r="V48" s="75"/>
      <c r="W48" s="77"/>
      <c r="X48" s="76"/>
      <c r="Y48" s="75"/>
      <c r="Z48" s="77"/>
      <c r="AA48" s="76"/>
      <c r="AB48" s="75"/>
      <c r="AC48" s="77"/>
      <c r="AD48" s="76"/>
      <c r="AE48" s="75"/>
      <c r="AF48" s="77"/>
      <c r="AG48" s="76"/>
      <c r="AH48" s="75"/>
      <c r="AI48" s="77"/>
      <c r="AJ48" s="76"/>
      <c r="AK48" s="74"/>
      <c r="AL48" s="77"/>
      <c r="AM48" s="76"/>
      <c r="AN48" s="75"/>
      <c r="AO48" s="77"/>
      <c r="AP48" s="76"/>
      <c r="AQ48" s="75"/>
      <c r="AR48" s="77"/>
      <c r="AS48" s="76"/>
      <c r="AT48" s="75"/>
      <c r="AU48" s="118"/>
      <c r="AV48" s="76"/>
      <c r="AW48" s="75"/>
      <c r="AX48" s="77"/>
      <c r="AY48" s="76"/>
      <c r="AZ48" s="75"/>
      <c r="BA48" s="77"/>
      <c r="BB48" s="76"/>
      <c r="BC48" s="75"/>
      <c r="BD48" s="77"/>
      <c r="BE48" s="76"/>
      <c r="BF48" s="75"/>
      <c r="BG48" s="77"/>
      <c r="BH48" s="76"/>
      <c r="BI48" s="75"/>
      <c r="BJ48" s="77"/>
      <c r="BK48" s="76"/>
      <c r="BL48" s="75"/>
      <c r="BM48" s="77"/>
      <c r="BN48" s="76"/>
      <c r="BO48" s="75"/>
      <c r="BP48" s="77"/>
      <c r="BQ48" s="76"/>
      <c r="BR48" s="75"/>
      <c r="BS48" s="77"/>
      <c r="BT48" s="76"/>
      <c r="BU48" s="75"/>
      <c r="BV48" s="77"/>
      <c r="BW48" s="76"/>
      <c r="BX48" s="75"/>
      <c r="BY48" s="77"/>
      <c r="BZ48" s="76"/>
      <c r="CA48" s="75"/>
      <c r="CB48" s="77"/>
      <c r="CC48" s="76"/>
      <c r="CD48" s="75"/>
      <c r="CE48" s="77"/>
      <c r="CF48" s="76"/>
      <c r="CG48" s="75"/>
      <c r="CH48" s="77"/>
      <c r="CI48" s="76"/>
      <c r="CJ48" s="75"/>
      <c r="CK48" s="77"/>
      <c r="CL48" s="76"/>
    </row>
    <row r="49" spans="1:90" ht="12.75">
      <c r="A49" s="74"/>
      <c r="B49" s="77"/>
      <c r="C49" s="76"/>
      <c r="D49" s="75"/>
      <c r="E49" s="77"/>
      <c r="F49" s="76"/>
      <c r="G49" s="74"/>
      <c r="H49" s="77"/>
      <c r="I49" s="76"/>
      <c r="J49" s="75"/>
      <c r="K49" s="77"/>
      <c r="L49" s="76"/>
      <c r="M49" s="75"/>
      <c r="N49" s="77"/>
      <c r="O49" s="76"/>
      <c r="P49" s="101" t="s">
        <v>39</v>
      </c>
      <c r="Q49" s="77" t="s">
        <v>356</v>
      </c>
      <c r="R49" s="76" t="s">
        <v>9</v>
      </c>
      <c r="S49" s="75"/>
      <c r="T49" s="77"/>
      <c r="U49" s="76"/>
      <c r="V49" s="75"/>
      <c r="W49" s="77"/>
      <c r="X49" s="76"/>
      <c r="Y49" s="75"/>
      <c r="Z49" s="77"/>
      <c r="AA49" s="76"/>
      <c r="AB49" s="75"/>
      <c r="AC49" s="77"/>
      <c r="AD49" s="76"/>
      <c r="AE49" s="75"/>
      <c r="AF49" s="77"/>
      <c r="AG49" s="76"/>
      <c r="AH49" s="75"/>
      <c r="AI49" s="77"/>
      <c r="AJ49" s="76"/>
      <c r="AK49" s="74"/>
      <c r="AL49" s="77"/>
      <c r="AM49" s="76"/>
      <c r="AN49" s="75"/>
      <c r="AO49" s="77"/>
      <c r="AP49" s="76"/>
      <c r="AQ49" s="75"/>
      <c r="AR49" s="77"/>
      <c r="AS49" s="76"/>
      <c r="AT49" s="75"/>
      <c r="AU49" s="118"/>
      <c r="AV49" s="76"/>
      <c r="AW49" s="75"/>
      <c r="AX49" s="77"/>
      <c r="AY49" s="76"/>
      <c r="AZ49" s="75"/>
      <c r="BA49" s="77"/>
      <c r="BB49" s="76"/>
      <c r="BC49" s="75"/>
      <c r="BD49" s="77"/>
      <c r="BE49" s="76"/>
      <c r="BF49" s="75"/>
      <c r="BG49" s="77"/>
      <c r="BH49" s="76"/>
      <c r="BI49" s="75"/>
      <c r="BJ49" s="77"/>
      <c r="BK49" s="76"/>
      <c r="BL49" s="75"/>
      <c r="BM49" s="77"/>
      <c r="BN49" s="76"/>
      <c r="BO49" s="75"/>
      <c r="BP49" s="77"/>
      <c r="BQ49" s="76"/>
      <c r="BR49" s="75"/>
      <c r="BS49" s="77"/>
      <c r="BT49" s="76"/>
      <c r="BU49" s="75"/>
      <c r="BV49" s="77"/>
      <c r="BW49" s="76"/>
      <c r="BX49" s="75"/>
      <c r="BY49" s="77"/>
      <c r="BZ49" s="76"/>
      <c r="CA49" s="75"/>
      <c r="CB49" s="77"/>
      <c r="CC49" s="76"/>
      <c r="CD49" s="75"/>
      <c r="CE49" s="77"/>
      <c r="CF49" s="76"/>
      <c r="CG49" s="75"/>
      <c r="CH49" s="77"/>
      <c r="CI49" s="76"/>
      <c r="CJ49" s="75"/>
      <c r="CK49" s="77"/>
      <c r="CL49" s="76"/>
    </row>
    <row r="50" spans="1:90" ht="12.75">
      <c r="A50" s="74"/>
      <c r="B50" s="77"/>
      <c r="C50" s="76"/>
      <c r="D50" s="75"/>
      <c r="E50" s="77"/>
      <c r="F50" s="76"/>
      <c r="G50" s="74"/>
      <c r="H50" s="77"/>
      <c r="I50" s="76"/>
      <c r="J50" s="75"/>
      <c r="K50" s="77"/>
      <c r="L50" s="76"/>
      <c r="M50" s="75"/>
      <c r="N50" s="77"/>
      <c r="O50" s="76"/>
      <c r="P50" s="101" t="s">
        <v>718</v>
      </c>
      <c r="Q50" s="77" t="s">
        <v>539</v>
      </c>
      <c r="R50" s="76" t="s">
        <v>9</v>
      </c>
      <c r="S50" s="75"/>
      <c r="T50" s="77"/>
      <c r="U50" s="76"/>
      <c r="V50" s="75"/>
      <c r="W50" s="77"/>
      <c r="X50" s="76"/>
      <c r="Y50" s="75"/>
      <c r="Z50" s="77"/>
      <c r="AA50" s="76"/>
      <c r="AB50" s="75"/>
      <c r="AC50" s="77"/>
      <c r="AD50" s="76"/>
      <c r="AE50" s="75"/>
      <c r="AF50" s="77"/>
      <c r="AG50" s="76"/>
      <c r="AH50" s="75"/>
      <c r="AI50" s="77"/>
      <c r="AJ50" s="76"/>
      <c r="AK50" s="74"/>
      <c r="AL50" s="77"/>
      <c r="AM50" s="76"/>
      <c r="AN50" s="75"/>
      <c r="AO50" s="77"/>
      <c r="AP50" s="76"/>
      <c r="AQ50" s="75"/>
      <c r="AR50" s="77"/>
      <c r="AS50" s="76"/>
      <c r="AT50" s="75"/>
      <c r="AU50" s="118"/>
      <c r="AV50" s="76"/>
      <c r="AW50" s="75"/>
      <c r="AX50" s="77"/>
      <c r="AY50" s="76"/>
      <c r="AZ50" s="75"/>
      <c r="BA50" s="77"/>
      <c r="BB50" s="76"/>
      <c r="BC50" s="75"/>
      <c r="BD50" s="77"/>
      <c r="BE50" s="76"/>
      <c r="BF50" s="75"/>
      <c r="BG50" s="77"/>
      <c r="BH50" s="76"/>
      <c r="BI50" s="75"/>
      <c r="BJ50" s="77"/>
      <c r="BK50" s="76"/>
      <c r="BL50" s="75"/>
      <c r="BM50" s="77"/>
      <c r="BN50" s="76"/>
      <c r="BO50" s="75"/>
      <c r="BP50" s="77"/>
      <c r="BQ50" s="76"/>
      <c r="BR50" s="75"/>
      <c r="BS50" s="77"/>
      <c r="BT50" s="76"/>
      <c r="BU50" s="75"/>
      <c r="BV50" s="77"/>
      <c r="BW50" s="76"/>
      <c r="BX50" s="75"/>
      <c r="BY50" s="77"/>
      <c r="BZ50" s="76"/>
      <c r="CA50" s="75"/>
      <c r="CB50" s="77"/>
      <c r="CC50" s="76"/>
      <c r="CD50" s="75"/>
      <c r="CE50" s="77"/>
      <c r="CF50" s="76"/>
      <c r="CG50" s="75"/>
      <c r="CH50" s="77"/>
      <c r="CI50" s="76"/>
      <c r="CJ50" s="75"/>
      <c r="CK50" s="77"/>
      <c r="CL50" s="76"/>
    </row>
    <row r="51" spans="1:90" ht="12.75">
      <c r="A51" s="74"/>
      <c r="B51" s="77"/>
      <c r="C51" s="76"/>
      <c r="D51" s="75"/>
      <c r="E51" s="77"/>
      <c r="F51" s="76"/>
      <c r="G51" s="74"/>
      <c r="H51" s="77"/>
      <c r="I51" s="76"/>
      <c r="J51" s="75"/>
      <c r="K51" s="77"/>
      <c r="L51" s="76"/>
      <c r="M51" s="75"/>
      <c r="N51" s="77"/>
      <c r="O51" s="76"/>
      <c r="P51" s="101" t="s">
        <v>718</v>
      </c>
      <c r="Q51" s="77" t="s">
        <v>555</v>
      </c>
      <c r="R51" s="76" t="s">
        <v>9</v>
      </c>
      <c r="S51" s="75"/>
      <c r="T51" s="77"/>
      <c r="U51" s="76"/>
      <c r="V51" s="75"/>
      <c r="W51" s="77"/>
      <c r="X51" s="76"/>
      <c r="Y51" s="75"/>
      <c r="Z51" s="77"/>
      <c r="AA51" s="76"/>
      <c r="AB51" s="75"/>
      <c r="AC51" s="77"/>
      <c r="AD51" s="76"/>
      <c r="AE51" s="75"/>
      <c r="AF51" s="77"/>
      <c r="AG51" s="76"/>
      <c r="AH51" s="75"/>
      <c r="AI51" s="77"/>
      <c r="AJ51" s="76"/>
      <c r="AK51" s="74"/>
      <c r="AL51" s="77"/>
      <c r="AM51" s="76"/>
      <c r="AN51" s="75"/>
      <c r="AO51" s="77"/>
      <c r="AP51" s="76"/>
      <c r="AQ51" s="75"/>
      <c r="AR51" s="77"/>
      <c r="AS51" s="76"/>
      <c r="AT51" s="75"/>
      <c r="AU51" s="118"/>
      <c r="AV51" s="76"/>
      <c r="AW51" s="75"/>
      <c r="AX51" s="77"/>
      <c r="AY51" s="76"/>
      <c r="AZ51" s="75"/>
      <c r="BA51" s="77"/>
      <c r="BB51" s="76"/>
      <c r="BC51" s="75"/>
      <c r="BD51" s="77"/>
      <c r="BE51" s="76"/>
      <c r="BF51" s="75"/>
      <c r="BG51" s="77"/>
      <c r="BH51" s="76"/>
      <c r="BI51" s="75"/>
      <c r="BJ51" s="77"/>
      <c r="BK51" s="76"/>
      <c r="BL51" s="75"/>
      <c r="BM51" s="77"/>
      <c r="BN51" s="76"/>
      <c r="BO51" s="75"/>
      <c r="BP51" s="77"/>
      <c r="BQ51" s="76"/>
      <c r="BR51" s="75"/>
      <c r="BS51" s="77"/>
      <c r="BT51" s="76"/>
      <c r="BU51" s="75"/>
      <c r="BV51" s="77"/>
      <c r="BW51" s="76"/>
      <c r="BX51" s="75"/>
      <c r="BY51" s="77"/>
      <c r="BZ51" s="76"/>
      <c r="CA51" s="75"/>
      <c r="CB51" s="77"/>
      <c r="CC51" s="76"/>
      <c r="CD51" s="75"/>
      <c r="CE51" s="77"/>
      <c r="CF51" s="76"/>
      <c r="CG51" s="75"/>
      <c r="CH51" s="77"/>
      <c r="CI51" s="76"/>
      <c r="CJ51" s="75"/>
      <c r="CK51" s="77"/>
      <c r="CL51" s="76"/>
    </row>
    <row r="52" spans="1:90" ht="12.75">
      <c r="A52" s="74"/>
      <c r="B52" s="77"/>
      <c r="C52" s="76"/>
      <c r="D52" s="75"/>
      <c r="E52" s="77"/>
      <c r="F52" s="76"/>
      <c r="G52" s="74"/>
      <c r="H52" s="77"/>
      <c r="I52" s="76"/>
      <c r="J52" s="75"/>
      <c r="K52" s="77"/>
      <c r="L52" s="76"/>
      <c r="M52" s="75"/>
      <c r="N52" s="77"/>
      <c r="O52" s="76"/>
      <c r="P52" s="101" t="s">
        <v>718</v>
      </c>
      <c r="Q52" s="77" t="s">
        <v>746</v>
      </c>
      <c r="R52" s="76" t="s">
        <v>9</v>
      </c>
      <c r="S52" s="75"/>
      <c r="T52" s="77"/>
      <c r="U52" s="76"/>
      <c r="V52" s="75"/>
      <c r="W52" s="77"/>
      <c r="X52" s="76"/>
      <c r="Y52" s="75"/>
      <c r="Z52" s="77"/>
      <c r="AA52" s="76"/>
      <c r="AB52" s="75"/>
      <c r="AC52" s="77"/>
      <c r="AD52" s="76"/>
      <c r="AE52" s="75"/>
      <c r="AF52" s="77"/>
      <c r="AG52" s="76"/>
      <c r="AH52" s="75"/>
      <c r="AI52" s="77"/>
      <c r="AJ52" s="76"/>
      <c r="AK52" s="74"/>
      <c r="AL52" s="77"/>
      <c r="AM52" s="76"/>
      <c r="AN52" s="75"/>
      <c r="AO52" s="77"/>
      <c r="AP52" s="76"/>
      <c r="AQ52" s="75"/>
      <c r="AR52" s="77"/>
      <c r="AS52" s="76"/>
      <c r="AT52" s="75"/>
      <c r="AU52" s="118"/>
      <c r="AV52" s="76"/>
      <c r="AW52" s="75"/>
      <c r="AX52" s="77"/>
      <c r="AY52" s="76"/>
      <c r="AZ52" s="75"/>
      <c r="BA52" s="77"/>
      <c r="BB52" s="76"/>
      <c r="BC52" s="75"/>
      <c r="BD52" s="77"/>
      <c r="BE52" s="76"/>
      <c r="BF52" s="75"/>
      <c r="BG52" s="77"/>
      <c r="BH52" s="76"/>
      <c r="BI52" s="75"/>
      <c r="BJ52" s="77"/>
      <c r="BK52" s="76"/>
      <c r="BL52" s="75"/>
      <c r="BM52" s="77"/>
      <c r="BN52" s="76"/>
      <c r="BO52" s="75"/>
      <c r="BP52" s="77"/>
      <c r="BQ52" s="76"/>
      <c r="BR52" s="75"/>
      <c r="BS52" s="77"/>
      <c r="BT52" s="76"/>
      <c r="BU52" s="75"/>
      <c r="BV52" s="77"/>
      <c r="BW52" s="76"/>
      <c r="BX52" s="75"/>
      <c r="BY52" s="77"/>
      <c r="BZ52" s="76"/>
      <c r="CA52" s="75"/>
      <c r="CB52" s="77"/>
      <c r="CC52" s="76"/>
      <c r="CD52" s="75"/>
      <c r="CE52" s="77"/>
      <c r="CF52" s="76"/>
      <c r="CG52" s="75"/>
      <c r="CH52" s="77"/>
      <c r="CI52" s="76"/>
      <c r="CJ52" s="75"/>
      <c r="CK52" s="77"/>
      <c r="CL52" s="76"/>
    </row>
    <row r="53" spans="1:90" ht="12.75">
      <c r="A53" s="74"/>
      <c r="B53" s="77"/>
      <c r="C53" s="76"/>
      <c r="D53" s="75"/>
      <c r="E53" s="77"/>
      <c r="F53" s="76"/>
      <c r="G53" s="74"/>
      <c r="H53" s="77"/>
      <c r="I53" s="76"/>
      <c r="J53" s="75"/>
      <c r="K53" s="77"/>
      <c r="L53" s="76"/>
      <c r="M53" s="75"/>
      <c r="N53" s="77"/>
      <c r="O53" s="76"/>
      <c r="P53" s="101" t="s">
        <v>718</v>
      </c>
      <c r="Q53" s="77" t="s">
        <v>705</v>
      </c>
      <c r="R53" s="76" t="s">
        <v>15</v>
      </c>
      <c r="S53" s="75"/>
      <c r="T53" s="77"/>
      <c r="U53" s="76"/>
      <c r="V53" s="75"/>
      <c r="W53" s="77"/>
      <c r="X53" s="76"/>
      <c r="Y53" s="75"/>
      <c r="Z53" s="77"/>
      <c r="AA53" s="76"/>
      <c r="AB53" s="75"/>
      <c r="AC53" s="77"/>
      <c r="AD53" s="76"/>
      <c r="AE53" s="75"/>
      <c r="AF53" s="77"/>
      <c r="AG53" s="76"/>
      <c r="AH53" s="75"/>
      <c r="AI53" s="77"/>
      <c r="AJ53" s="76"/>
      <c r="AK53" s="74"/>
      <c r="AL53" s="77"/>
      <c r="AM53" s="76"/>
      <c r="AN53" s="75"/>
      <c r="AO53" s="77"/>
      <c r="AP53" s="76"/>
      <c r="AQ53" s="75"/>
      <c r="AR53" s="77"/>
      <c r="AS53" s="76"/>
      <c r="AT53" s="75"/>
      <c r="AU53" s="118"/>
      <c r="AV53" s="76"/>
      <c r="AW53" s="75"/>
      <c r="AX53" s="77"/>
      <c r="AY53" s="76"/>
      <c r="AZ53" s="75"/>
      <c r="BA53" s="77"/>
      <c r="BB53" s="76"/>
      <c r="BC53" s="75"/>
      <c r="BD53" s="77"/>
      <c r="BE53" s="76"/>
      <c r="BF53" s="75"/>
      <c r="BG53" s="77"/>
      <c r="BH53" s="76"/>
      <c r="BI53" s="75"/>
      <c r="BJ53" s="77"/>
      <c r="BK53" s="76"/>
      <c r="BL53" s="75"/>
      <c r="BM53" s="77"/>
      <c r="BN53" s="76"/>
      <c r="BO53" s="75"/>
      <c r="BP53" s="77"/>
      <c r="BQ53" s="76"/>
      <c r="BR53" s="75"/>
      <c r="BS53" s="77"/>
      <c r="BT53" s="76"/>
      <c r="BU53" s="75"/>
      <c r="BV53" s="77"/>
      <c r="BW53" s="76"/>
      <c r="BX53" s="75"/>
      <c r="BY53" s="77"/>
      <c r="BZ53" s="76"/>
      <c r="CA53" s="75"/>
      <c r="CB53" s="77"/>
      <c r="CC53" s="76"/>
      <c r="CD53" s="75"/>
      <c r="CE53" s="77"/>
      <c r="CF53" s="76"/>
      <c r="CG53" s="75"/>
      <c r="CH53" s="77"/>
      <c r="CI53" s="76"/>
      <c r="CJ53" s="75"/>
      <c r="CK53" s="77"/>
      <c r="CL53" s="76"/>
    </row>
    <row r="54" spans="1:90" ht="12.75">
      <c r="A54" s="74"/>
      <c r="B54" s="77"/>
      <c r="C54" s="76"/>
      <c r="D54" s="75"/>
      <c r="E54" s="77"/>
      <c r="F54" s="76"/>
      <c r="G54" s="74"/>
      <c r="H54" s="77"/>
      <c r="I54" s="76"/>
      <c r="J54" s="75"/>
      <c r="K54" s="77"/>
      <c r="L54" s="76"/>
      <c r="M54" s="75"/>
      <c r="N54" s="77"/>
      <c r="O54" s="76"/>
      <c r="P54" s="101" t="s">
        <v>719</v>
      </c>
      <c r="Q54" s="77" t="s">
        <v>747</v>
      </c>
      <c r="R54" s="76" t="s">
        <v>9</v>
      </c>
      <c r="S54" s="75"/>
      <c r="T54" s="77"/>
      <c r="U54" s="76"/>
      <c r="V54" s="75"/>
      <c r="W54" s="77"/>
      <c r="X54" s="76"/>
      <c r="Y54" s="75"/>
      <c r="Z54" s="77"/>
      <c r="AA54" s="76"/>
      <c r="AB54" s="75"/>
      <c r="AC54" s="77"/>
      <c r="AD54" s="76"/>
      <c r="AE54" s="75"/>
      <c r="AF54" s="77"/>
      <c r="AG54" s="76"/>
      <c r="AH54" s="75"/>
      <c r="AI54" s="77"/>
      <c r="AJ54" s="76"/>
      <c r="AK54" s="74"/>
      <c r="AL54" s="77"/>
      <c r="AM54" s="76"/>
      <c r="AN54" s="75"/>
      <c r="AO54" s="77"/>
      <c r="AP54" s="76"/>
      <c r="AQ54" s="75"/>
      <c r="AR54" s="77"/>
      <c r="AS54" s="76"/>
      <c r="AT54" s="75"/>
      <c r="AU54" s="118"/>
      <c r="AV54" s="76"/>
      <c r="AW54" s="75"/>
      <c r="AX54" s="77"/>
      <c r="AY54" s="76"/>
      <c r="AZ54" s="75"/>
      <c r="BA54" s="77"/>
      <c r="BB54" s="76"/>
      <c r="BC54" s="75"/>
      <c r="BD54" s="77"/>
      <c r="BE54" s="76"/>
      <c r="BF54" s="75"/>
      <c r="BG54" s="77"/>
      <c r="BH54" s="76"/>
      <c r="BI54" s="75"/>
      <c r="BJ54" s="77"/>
      <c r="BK54" s="76"/>
      <c r="BL54" s="75"/>
      <c r="BM54" s="77"/>
      <c r="BN54" s="76"/>
      <c r="BO54" s="75"/>
      <c r="BP54" s="77"/>
      <c r="BQ54" s="76"/>
      <c r="BR54" s="75"/>
      <c r="BS54" s="77"/>
      <c r="BT54" s="76"/>
      <c r="BU54" s="75"/>
      <c r="BV54" s="77"/>
      <c r="BW54" s="76"/>
      <c r="BX54" s="75"/>
      <c r="BY54" s="77"/>
      <c r="BZ54" s="76"/>
      <c r="CA54" s="75"/>
      <c r="CB54" s="77"/>
      <c r="CC54" s="76"/>
      <c r="CD54" s="75"/>
      <c r="CE54" s="77"/>
      <c r="CF54" s="76"/>
      <c r="CG54" s="75"/>
      <c r="CH54" s="77"/>
      <c r="CI54" s="76"/>
      <c r="CJ54" s="75"/>
      <c r="CK54" s="77"/>
      <c r="CL54" s="76"/>
    </row>
    <row r="55" spans="1:90" ht="12.75">
      <c r="A55" s="74"/>
      <c r="B55" s="77"/>
      <c r="C55" s="76"/>
      <c r="D55" s="75"/>
      <c r="E55" s="77"/>
      <c r="F55" s="76"/>
      <c r="G55" s="74"/>
      <c r="H55" s="77"/>
      <c r="I55" s="76"/>
      <c r="J55" s="75"/>
      <c r="K55" s="77"/>
      <c r="L55" s="76"/>
      <c r="M55" s="75"/>
      <c r="N55" s="77"/>
      <c r="O55" s="76"/>
      <c r="P55" s="101" t="s">
        <v>719</v>
      </c>
      <c r="Q55" s="77" t="s">
        <v>535</v>
      </c>
      <c r="R55" s="76" t="s">
        <v>9</v>
      </c>
      <c r="S55" s="75"/>
      <c r="T55" s="77"/>
      <c r="U55" s="76"/>
      <c r="V55" s="75"/>
      <c r="W55" s="77"/>
      <c r="X55" s="76"/>
      <c r="Y55" s="75"/>
      <c r="Z55" s="77"/>
      <c r="AA55" s="76"/>
      <c r="AB55" s="75"/>
      <c r="AC55" s="77"/>
      <c r="AD55" s="76"/>
      <c r="AE55" s="75"/>
      <c r="AF55" s="77"/>
      <c r="AG55" s="76"/>
      <c r="AH55" s="75"/>
      <c r="AI55" s="77"/>
      <c r="AJ55" s="76"/>
      <c r="AK55" s="74"/>
      <c r="AL55" s="77"/>
      <c r="AM55" s="76"/>
      <c r="AN55" s="75"/>
      <c r="AO55" s="77"/>
      <c r="AP55" s="76"/>
      <c r="AQ55" s="75"/>
      <c r="AR55" s="77"/>
      <c r="AS55" s="76"/>
      <c r="AT55" s="75"/>
      <c r="AU55" s="118"/>
      <c r="AV55" s="76"/>
      <c r="AW55" s="75"/>
      <c r="AX55" s="77"/>
      <c r="AY55" s="76"/>
      <c r="AZ55" s="75"/>
      <c r="BA55" s="77"/>
      <c r="BB55" s="76"/>
      <c r="BC55" s="75"/>
      <c r="BD55" s="77"/>
      <c r="BE55" s="76"/>
      <c r="BF55" s="75"/>
      <c r="BG55" s="77"/>
      <c r="BH55" s="76"/>
      <c r="BI55" s="75"/>
      <c r="BJ55" s="77"/>
      <c r="BK55" s="76"/>
      <c r="BL55" s="75"/>
      <c r="BM55" s="77"/>
      <c r="BN55" s="76"/>
      <c r="BO55" s="75"/>
      <c r="BP55" s="77"/>
      <c r="BQ55" s="76"/>
      <c r="BR55" s="75"/>
      <c r="BS55" s="77"/>
      <c r="BT55" s="76"/>
      <c r="BU55" s="75"/>
      <c r="BV55" s="77"/>
      <c r="BW55" s="76"/>
      <c r="BX55" s="75"/>
      <c r="BY55" s="77"/>
      <c r="BZ55" s="76"/>
      <c r="CA55" s="75"/>
      <c r="CB55" s="77"/>
      <c r="CC55" s="76"/>
      <c r="CD55" s="75"/>
      <c r="CE55" s="77"/>
      <c r="CF55" s="76"/>
      <c r="CG55" s="75"/>
      <c r="CH55" s="77"/>
      <c r="CI55" s="76"/>
      <c r="CJ55" s="75"/>
      <c r="CK55" s="77"/>
      <c r="CL55" s="76"/>
    </row>
    <row r="56" spans="1:90" ht="12.75">
      <c r="A56" s="74"/>
      <c r="B56" s="77"/>
      <c r="C56" s="76"/>
      <c r="D56" s="75"/>
      <c r="E56" s="77"/>
      <c r="F56" s="76"/>
      <c r="G56" s="74"/>
      <c r="H56" s="77"/>
      <c r="I56" s="76"/>
      <c r="J56" s="75"/>
      <c r="K56" s="77"/>
      <c r="L56" s="76"/>
      <c r="M56" s="75"/>
      <c r="N56" s="77"/>
      <c r="O56" s="76"/>
      <c r="P56" s="101" t="s">
        <v>719</v>
      </c>
      <c r="Q56" s="77" t="s">
        <v>748</v>
      </c>
      <c r="R56" s="76" t="s">
        <v>9</v>
      </c>
      <c r="S56" s="75"/>
      <c r="T56" s="77"/>
      <c r="U56" s="76"/>
      <c r="V56" s="75"/>
      <c r="W56" s="77"/>
      <c r="X56" s="76"/>
      <c r="Y56" s="75"/>
      <c r="Z56" s="77"/>
      <c r="AA56" s="76"/>
      <c r="AB56" s="75"/>
      <c r="AC56" s="77"/>
      <c r="AD56" s="76"/>
      <c r="AE56" s="75"/>
      <c r="AF56" s="77"/>
      <c r="AG56" s="76"/>
      <c r="AH56" s="75"/>
      <c r="AI56" s="77"/>
      <c r="AJ56" s="76"/>
      <c r="AK56" s="74"/>
      <c r="AL56" s="77"/>
      <c r="AM56" s="76"/>
      <c r="AN56" s="75"/>
      <c r="AO56" s="77"/>
      <c r="AP56" s="76"/>
      <c r="AQ56" s="75"/>
      <c r="AR56" s="77"/>
      <c r="AS56" s="76"/>
      <c r="AT56" s="75"/>
      <c r="AU56" s="118"/>
      <c r="AV56" s="76"/>
      <c r="AW56" s="75"/>
      <c r="AX56" s="77"/>
      <c r="AY56" s="76"/>
      <c r="AZ56" s="75"/>
      <c r="BA56" s="77"/>
      <c r="BB56" s="76"/>
      <c r="BC56" s="75"/>
      <c r="BD56" s="77"/>
      <c r="BE56" s="76"/>
      <c r="BF56" s="75"/>
      <c r="BG56" s="77"/>
      <c r="BH56" s="76"/>
      <c r="BI56" s="75"/>
      <c r="BJ56" s="77"/>
      <c r="BK56" s="76"/>
      <c r="BL56" s="75"/>
      <c r="BM56" s="77"/>
      <c r="BN56" s="76"/>
      <c r="BO56" s="75"/>
      <c r="BP56" s="77"/>
      <c r="BQ56" s="76"/>
      <c r="BR56" s="75"/>
      <c r="BS56" s="77"/>
      <c r="BT56" s="76"/>
      <c r="BU56" s="75"/>
      <c r="BV56" s="77"/>
      <c r="BW56" s="76"/>
      <c r="BX56" s="75"/>
      <c r="BY56" s="77"/>
      <c r="BZ56" s="76"/>
      <c r="CA56" s="75"/>
      <c r="CB56" s="77"/>
      <c r="CC56" s="76"/>
      <c r="CD56" s="75"/>
      <c r="CE56" s="77"/>
      <c r="CF56" s="76"/>
      <c r="CG56" s="75"/>
      <c r="CH56" s="77"/>
      <c r="CI56" s="76"/>
      <c r="CJ56" s="75"/>
      <c r="CK56" s="77"/>
      <c r="CL56" s="76"/>
    </row>
    <row r="57" spans="1:90" ht="12.75">
      <c r="A57" s="74"/>
      <c r="B57" s="77"/>
      <c r="C57" s="76"/>
      <c r="D57" s="75"/>
      <c r="E57" s="77"/>
      <c r="F57" s="76"/>
      <c r="G57" s="74"/>
      <c r="H57" s="77"/>
      <c r="I57" s="76"/>
      <c r="J57" s="75"/>
      <c r="K57" s="77"/>
      <c r="L57" s="76"/>
      <c r="M57" s="75"/>
      <c r="N57" s="77"/>
      <c r="O57" s="76"/>
      <c r="P57" s="101" t="s">
        <v>719</v>
      </c>
      <c r="Q57" s="77" t="s">
        <v>666</v>
      </c>
      <c r="R57" s="76" t="s">
        <v>9</v>
      </c>
      <c r="S57" s="75"/>
      <c r="T57" s="77"/>
      <c r="U57" s="76"/>
      <c r="V57" s="75"/>
      <c r="W57" s="77"/>
      <c r="X57" s="76"/>
      <c r="Y57" s="75"/>
      <c r="Z57" s="77"/>
      <c r="AA57" s="76"/>
      <c r="AB57" s="75"/>
      <c r="AC57" s="77"/>
      <c r="AD57" s="76"/>
      <c r="AE57" s="75"/>
      <c r="AF57" s="77"/>
      <c r="AG57" s="76"/>
      <c r="AH57" s="75"/>
      <c r="AI57" s="77"/>
      <c r="AJ57" s="76"/>
      <c r="AK57" s="74"/>
      <c r="AL57" s="77"/>
      <c r="AM57" s="76"/>
      <c r="AN57" s="75"/>
      <c r="AO57" s="77"/>
      <c r="AP57" s="76"/>
      <c r="AQ57" s="75"/>
      <c r="AR57" s="77"/>
      <c r="AS57" s="76"/>
      <c r="AT57" s="75"/>
      <c r="AU57" s="118"/>
      <c r="AV57" s="76"/>
      <c r="AW57" s="75"/>
      <c r="AX57" s="77"/>
      <c r="AY57" s="76"/>
      <c r="AZ57" s="75"/>
      <c r="BA57" s="77"/>
      <c r="BB57" s="76"/>
      <c r="BC57" s="75"/>
      <c r="BD57" s="77"/>
      <c r="BE57" s="76"/>
      <c r="BF57" s="75"/>
      <c r="BG57" s="77"/>
      <c r="BH57" s="76"/>
      <c r="BI57" s="75"/>
      <c r="BJ57" s="77"/>
      <c r="BK57" s="76"/>
      <c r="BL57" s="75"/>
      <c r="BM57" s="77"/>
      <c r="BN57" s="76"/>
      <c r="BO57" s="75"/>
      <c r="BP57" s="77"/>
      <c r="BQ57" s="76"/>
      <c r="BR57" s="75"/>
      <c r="BS57" s="77"/>
      <c r="BT57" s="76"/>
      <c r="BU57" s="75"/>
      <c r="BV57" s="77"/>
      <c r="BW57" s="76"/>
      <c r="BX57" s="75"/>
      <c r="BY57" s="77"/>
      <c r="BZ57" s="76"/>
      <c r="CA57" s="75"/>
      <c r="CB57" s="77"/>
      <c r="CC57" s="76"/>
      <c r="CD57" s="75"/>
      <c r="CE57" s="77"/>
      <c r="CF57" s="76"/>
      <c r="CG57" s="75"/>
      <c r="CH57" s="77"/>
      <c r="CI57" s="76"/>
      <c r="CJ57" s="75"/>
      <c r="CK57" s="77"/>
      <c r="CL57" s="76"/>
    </row>
    <row r="58" spans="1:90" ht="12.75">
      <c r="A58" s="74"/>
      <c r="B58" s="77"/>
      <c r="C58" s="76"/>
      <c r="D58" s="75"/>
      <c r="E58" s="77"/>
      <c r="F58" s="76"/>
      <c r="G58" s="74"/>
      <c r="H58" s="77"/>
      <c r="I58" s="76"/>
      <c r="J58" s="75"/>
      <c r="K58" s="77"/>
      <c r="L58" s="76"/>
      <c r="M58" s="75"/>
      <c r="N58" s="77"/>
      <c r="O58" s="76"/>
      <c r="P58" s="101" t="s">
        <v>719</v>
      </c>
      <c r="Q58" s="77" t="s">
        <v>627</v>
      </c>
      <c r="R58" s="76" t="s">
        <v>9</v>
      </c>
      <c r="S58" s="75"/>
      <c r="T58" s="77"/>
      <c r="U58" s="76"/>
      <c r="V58" s="75"/>
      <c r="W58" s="77"/>
      <c r="X58" s="76"/>
      <c r="Y58" s="75"/>
      <c r="Z58" s="77"/>
      <c r="AA58" s="76"/>
      <c r="AB58" s="75"/>
      <c r="AC58" s="77"/>
      <c r="AD58" s="76"/>
      <c r="AE58" s="75"/>
      <c r="AF58" s="77"/>
      <c r="AG58" s="76"/>
      <c r="AH58" s="75"/>
      <c r="AI58" s="77"/>
      <c r="AJ58" s="76"/>
      <c r="AK58" s="74"/>
      <c r="AL58" s="77"/>
      <c r="AM58" s="76"/>
      <c r="AN58" s="75"/>
      <c r="AO58" s="77"/>
      <c r="AP58" s="76"/>
      <c r="AQ58" s="75"/>
      <c r="AR58" s="77"/>
      <c r="AS58" s="76"/>
      <c r="AT58" s="75"/>
      <c r="AU58" s="118"/>
      <c r="AV58" s="76"/>
      <c r="AW58" s="75"/>
      <c r="AX58" s="77"/>
      <c r="AY58" s="76"/>
      <c r="AZ58" s="75"/>
      <c r="BA58" s="77"/>
      <c r="BB58" s="76"/>
      <c r="BC58" s="75"/>
      <c r="BD58" s="77"/>
      <c r="BE58" s="76"/>
      <c r="BF58" s="75"/>
      <c r="BG58" s="77"/>
      <c r="BH58" s="76"/>
      <c r="BI58" s="75"/>
      <c r="BJ58" s="77"/>
      <c r="BK58" s="76"/>
      <c r="BL58" s="75"/>
      <c r="BM58" s="77"/>
      <c r="BN58" s="76"/>
      <c r="BO58" s="75"/>
      <c r="BP58" s="77"/>
      <c r="BQ58" s="76"/>
      <c r="BR58" s="75"/>
      <c r="BS58" s="77"/>
      <c r="BT58" s="76"/>
      <c r="BU58" s="75"/>
      <c r="BV58" s="77"/>
      <c r="BW58" s="76"/>
      <c r="BX58" s="75"/>
      <c r="BY58" s="77"/>
      <c r="BZ58" s="76"/>
      <c r="CA58" s="75"/>
      <c r="CB58" s="77"/>
      <c r="CC58" s="76"/>
      <c r="CD58" s="75"/>
      <c r="CE58" s="77"/>
      <c r="CF58" s="76"/>
      <c r="CG58" s="75"/>
      <c r="CH58" s="77"/>
      <c r="CI58" s="76"/>
      <c r="CJ58" s="75"/>
      <c r="CK58" s="77"/>
      <c r="CL58" s="76"/>
    </row>
    <row r="59" spans="1:90" ht="12.75">
      <c r="A59" s="74"/>
      <c r="B59" s="77"/>
      <c r="C59" s="76"/>
      <c r="D59" s="75"/>
      <c r="E59" s="77"/>
      <c r="F59" s="76"/>
      <c r="G59" s="74"/>
      <c r="H59" s="77"/>
      <c r="I59" s="76"/>
      <c r="J59" s="75"/>
      <c r="K59" s="77"/>
      <c r="L59" s="76"/>
      <c r="M59" s="75"/>
      <c r="N59" s="77"/>
      <c r="O59" s="76"/>
      <c r="P59" s="101" t="s">
        <v>719</v>
      </c>
      <c r="Q59" s="77" t="s">
        <v>749</v>
      </c>
      <c r="R59" s="76" t="s">
        <v>9</v>
      </c>
      <c r="S59" s="75"/>
      <c r="T59" s="77"/>
      <c r="U59" s="76"/>
      <c r="V59" s="75"/>
      <c r="W59" s="77"/>
      <c r="X59" s="76"/>
      <c r="Y59" s="75"/>
      <c r="Z59" s="77"/>
      <c r="AA59" s="76"/>
      <c r="AB59" s="75"/>
      <c r="AC59" s="77"/>
      <c r="AD59" s="76"/>
      <c r="AE59" s="75"/>
      <c r="AF59" s="77"/>
      <c r="AG59" s="76"/>
      <c r="AH59" s="75"/>
      <c r="AI59" s="77"/>
      <c r="AJ59" s="76"/>
      <c r="AK59" s="74"/>
      <c r="AL59" s="77"/>
      <c r="AM59" s="76"/>
      <c r="AN59" s="75"/>
      <c r="AO59" s="77"/>
      <c r="AP59" s="76"/>
      <c r="AQ59" s="75"/>
      <c r="AR59" s="77"/>
      <c r="AS59" s="76"/>
      <c r="AT59" s="75"/>
      <c r="AU59" s="118"/>
      <c r="AV59" s="76"/>
      <c r="AW59" s="75"/>
      <c r="AX59" s="77"/>
      <c r="AY59" s="76"/>
      <c r="AZ59" s="75"/>
      <c r="BA59" s="77"/>
      <c r="BB59" s="76"/>
      <c r="BC59" s="75"/>
      <c r="BD59" s="77"/>
      <c r="BE59" s="76"/>
      <c r="BF59" s="75"/>
      <c r="BG59" s="77"/>
      <c r="BH59" s="76"/>
      <c r="BI59" s="75"/>
      <c r="BJ59" s="77"/>
      <c r="BK59" s="76"/>
      <c r="BL59" s="75"/>
      <c r="BM59" s="77"/>
      <c r="BN59" s="76"/>
      <c r="BO59" s="75"/>
      <c r="BP59" s="77"/>
      <c r="BQ59" s="76"/>
      <c r="BR59" s="75"/>
      <c r="BS59" s="77"/>
      <c r="BT59" s="76"/>
      <c r="BU59" s="75"/>
      <c r="BV59" s="77"/>
      <c r="BW59" s="76"/>
      <c r="BX59" s="75"/>
      <c r="BY59" s="77"/>
      <c r="BZ59" s="76"/>
      <c r="CA59" s="75"/>
      <c r="CB59" s="77"/>
      <c r="CC59" s="76"/>
      <c r="CD59" s="75"/>
      <c r="CE59" s="77"/>
      <c r="CF59" s="76"/>
      <c r="CG59" s="75"/>
      <c r="CH59" s="77"/>
      <c r="CI59" s="76"/>
      <c r="CJ59" s="75"/>
      <c r="CK59" s="77"/>
      <c r="CL59" s="76"/>
    </row>
    <row r="60" spans="1:90" ht="12.75">
      <c r="A60" s="74"/>
      <c r="B60" s="77"/>
      <c r="C60" s="76"/>
      <c r="D60" s="75"/>
      <c r="E60" s="77"/>
      <c r="F60" s="76"/>
      <c r="G60" s="74"/>
      <c r="H60" s="77"/>
      <c r="I60" s="76"/>
      <c r="J60" s="75"/>
      <c r="K60" s="77"/>
      <c r="L60" s="76"/>
      <c r="M60" s="75"/>
      <c r="N60" s="77"/>
      <c r="O60" s="76"/>
      <c r="P60" s="101" t="s">
        <v>750</v>
      </c>
      <c r="Q60" s="77" t="s">
        <v>155</v>
      </c>
      <c r="R60" s="76" t="s">
        <v>9</v>
      </c>
      <c r="S60" s="75"/>
      <c r="T60" s="77"/>
      <c r="U60" s="76"/>
      <c r="V60" s="75"/>
      <c r="W60" s="77"/>
      <c r="X60" s="76"/>
      <c r="Y60" s="75"/>
      <c r="Z60" s="77"/>
      <c r="AA60" s="76"/>
      <c r="AB60" s="75"/>
      <c r="AC60" s="77"/>
      <c r="AD60" s="76"/>
      <c r="AE60" s="75"/>
      <c r="AF60" s="77"/>
      <c r="AG60" s="76"/>
      <c r="AH60" s="75"/>
      <c r="AI60" s="77"/>
      <c r="AJ60" s="76"/>
      <c r="AK60" s="74"/>
      <c r="AL60" s="77"/>
      <c r="AM60" s="76"/>
      <c r="AN60" s="75"/>
      <c r="AO60" s="77"/>
      <c r="AP60" s="76"/>
      <c r="AQ60" s="75"/>
      <c r="AR60" s="77"/>
      <c r="AS60" s="76"/>
      <c r="AT60" s="75"/>
      <c r="AU60" s="118"/>
      <c r="AV60" s="76"/>
      <c r="AW60" s="75"/>
      <c r="AX60" s="77"/>
      <c r="AY60" s="76"/>
      <c r="AZ60" s="75"/>
      <c r="BA60" s="77"/>
      <c r="BB60" s="76"/>
      <c r="BC60" s="75"/>
      <c r="BD60" s="77"/>
      <c r="BE60" s="76"/>
      <c r="BF60" s="75"/>
      <c r="BG60" s="77"/>
      <c r="BH60" s="76"/>
      <c r="BI60" s="75"/>
      <c r="BJ60" s="77"/>
      <c r="BK60" s="76"/>
      <c r="BL60" s="75"/>
      <c r="BM60" s="77"/>
      <c r="BN60" s="76"/>
      <c r="BO60" s="75"/>
      <c r="BP60" s="77"/>
      <c r="BQ60" s="76"/>
      <c r="BR60" s="75"/>
      <c r="BS60" s="77"/>
      <c r="BT60" s="76"/>
      <c r="BU60" s="75"/>
      <c r="BV60" s="77"/>
      <c r="BW60" s="76"/>
      <c r="BX60" s="75"/>
      <c r="BY60" s="77"/>
      <c r="BZ60" s="76"/>
      <c r="CA60" s="75"/>
      <c r="CB60" s="77"/>
      <c r="CC60" s="76"/>
      <c r="CD60" s="75"/>
      <c r="CE60" s="77"/>
      <c r="CF60" s="76"/>
      <c r="CG60" s="75"/>
      <c r="CH60" s="77"/>
      <c r="CI60" s="76"/>
      <c r="CJ60" s="75"/>
      <c r="CK60" s="77"/>
      <c r="CL60" s="76"/>
    </row>
    <row r="61" spans="1:90" ht="12.75">
      <c r="A61" s="74"/>
      <c r="B61" s="77"/>
      <c r="C61" s="76"/>
      <c r="D61" s="75"/>
      <c r="E61" s="77"/>
      <c r="F61" s="76"/>
      <c r="G61" s="74"/>
      <c r="H61" s="77"/>
      <c r="I61" s="76"/>
      <c r="J61" s="75"/>
      <c r="K61" s="77"/>
      <c r="L61" s="76"/>
      <c r="M61" s="75"/>
      <c r="N61" s="77"/>
      <c r="O61" s="76"/>
      <c r="P61" s="101" t="s">
        <v>750</v>
      </c>
      <c r="Q61" s="77" t="s">
        <v>121</v>
      </c>
      <c r="R61" s="76" t="s">
        <v>9</v>
      </c>
      <c r="S61" s="75"/>
      <c r="T61" s="77"/>
      <c r="U61" s="76"/>
      <c r="V61" s="75"/>
      <c r="W61" s="77"/>
      <c r="X61" s="76"/>
      <c r="Y61" s="75"/>
      <c r="Z61" s="77"/>
      <c r="AA61" s="76"/>
      <c r="AB61" s="75"/>
      <c r="AC61" s="77"/>
      <c r="AD61" s="76"/>
      <c r="AE61" s="75"/>
      <c r="AF61" s="77"/>
      <c r="AG61" s="76"/>
      <c r="AH61" s="75"/>
      <c r="AI61" s="77"/>
      <c r="AJ61" s="76"/>
      <c r="AK61" s="74"/>
      <c r="AL61" s="77"/>
      <c r="AM61" s="76"/>
      <c r="AN61" s="75"/>
      <c r="AO61" s="77"/>
      <c r="AP61" s="76"/>
      <c r="AQ61" s="75"/>
      <c r="AR61" s="77"/>
      <c r="AS61" s="76"/>
      <c r="AT61" s="75"/>
      <c r="AU61" s="118"/>
      <c r="AV61" s="76"/>
      <c r="AW61" s="75"/>
      <c r="AX61" s="77"/>
      <c r="AY61" s="76"/>
      <c r="AZ61" s="75"/>
      <c r="BA61" s="77"/>
      <c r="BB61" s="76"/>
      <c r="BC61" s="75"/>
      <c r="BD61" s="77"/>
      <c r="BE61" s="76"/>
      <c r="BF61" s="75"/>
      <c r="BG61" s="77"/>
      <c r="BH61" s="76"/>
      <c r="BI61" s="75"/>
      <c r="BJ61" s="77"/>
      <c r="BK61" s="76"/>
      <c r="BL61" s="75"/>
      <c r="BM61" s="77"/>
      <c r="BN61" s="76"/>
      <c r="BO61" s="75"/>
      <c r="BP61" s="77"/>
      <c r="BQ61" s="76"/>
      <c r="BR61" s="75"/>
      <c r="BS61" s="77"/>
      <c r="BT61" s="76"/>
      <c r="BU61" s="75"/>
      <c r="BV61" s="77"/>
      <c r="BW61" s="76"/>
      <c r="BX61" s="75"/>
      <c r="BY61" s="77"/>
      <c r="BZ61" s="76"/>
      <c r="CA61" s="75"/>
      <c r="CB61" s="77"/>
      <c r="CC61" s="76"/>
      <c r="CD61" s="75"/>
      <c r="CE61" s="77"/>
      <c r="CF61" s="76"/>
      <c r="CG61" s="75"/>
      <c r="CH61" s="77"/>
      <c r="CI61" s="76"/>
      <c r="CJ61" s="75"/>
      <c r="CK61" s="77"/>
      <c r="CL61" s="76"/>
    </row>
    <row r="62" spans="1:90" ht="12.75">
      <c r="A62" s="74"/>
      <c r="B62" s="77"/>
      <c r="C62" s="76"/>
      <c r="D62" s="75"/>
      <c r="E62" s="77"/>
      <c r="F62" s="76"/>
      <c r="G62" s="74"/>
      <c r="H62" s="77"/>
      <c r="I62" s="76"/>
      <c r="J62" s="75"/>
      <c r="K62" s="77"/>
      <c r="L62" s="76"/>
      <c r="M62" s="75"/>
      <c r="N62" s="77"/>
      <c r="O62" s="76"/>
      <c r="P62" s="101" t="s">
        <v>750</v>
      </c>
      <c r="Q62" s="77" t="s">
        <v>167</v>
      </c>
      <c r="R62" s="76" t="s">
        <v>9</v>
      </c>
      <c r="S62" s="75"/>
      <c r="T62" s="77"/>
      <c r="U62" s="76"/>
      <c r="V62" s="75"/>
      <c r="W62" s="77"/>
      <c r="X62" s="76"/>
      <c r="Y62" s="75"/>
      <c r="Z62" s="77"/>
      <c r="AA62" s="76"/>
      <c r="AB62" s="75"/>
      <c r="AC62" s="77"/>
      <c r="AD62" s="76"/>
      <c r="AE62" s="75"/>
      <c r="AF62" s="77"/>
      <c r="AG62" s="76"/>
      <c r="AH62" s="75"/>
      <c r="AI62" s="77"/>
      <c r="AJ62" s="76"/>
      <c r="AK62" s="74"/>
      <c r="AL62" s="77"/>
      <c r="AM62" s="76"/>
      <c r="AN62" s="75"/>
      <c r="AO62" s="77"/>
      <c r="AP62" s="76"/>
      <c r="AQ62" s="75"/>
      <c r="AR62" s="77"/>
      <c r="AS62" s="76"/>
      <c r="AT62" s="75"/>
      <c r="AU62" s="118"/>
      <c r="AV62" s="76"/>
      <c r="AW62" s="75"/>
      <c r="AX62" s="77"/>
      <c r="AY62" s="76"/>
      <c r="AZ62" s="75"/>
      <c r="BA62" s="77"/>
      <c r="BB62" s="76"/>
      <c r="BC62" s="75"/>
      <c r="BD62" s="77"/>
      <c r="BE62" s="76"/>
      <c r="BF62" s="75"/>
      <c r="BG62" s="77"/>
      <c r="BH62" s="76"/>
      <c r="BI62" s="75"/>
      <c r="BJ62" s="77"/>
      <c r="BK62" s="76"/>
      <c r="BL62" s="75"/>
      <c r="BM62" s="77"/>
      <c r="BN62" s="76"/>
      <c r="BO62" s="75"/>
      <c r="BP62" s="77"/>
      <c r="BQ62" s="76"/>
      <c r="BR62" s="75"/>
      <c r="BS62" s="77"/>
      <c r="BT62" s="76"/>
      <c r="BU62" s="75"/>
      <c r="BV62" s="77"/>
      <c r="BW62" s="76"/>
      <c r="BX62" s="75"/>
      <c r="BY62" s="77"/>
      <c r="BZ62" s="76"/>
      <c r="CA62" s="75"/>
      <c r="CB62" s="77"/>
      <c r="CC62" s="76"/>
      <c r="CD62" s="75"/>
      <c r="CE62" s="77"/>
      <c r="CF62" s="76"/>
      <c r="CG62" s="75"/>
      <c r="CH62" s="77"/>
      <c r="CI62" s="76"/>
      <c r="CJ62" s="75"/>
      <c r="CK62" s="77"/>
      <c r="CL62" s="76"/>
    </row>
    <row r="63" spans="1:90" ht="12.75">
      <c r="A63" s="74"/>
      <c r="B63" s="77"/>
      <c r="C63" s="76"/>
      <c r="D63" s="75"/>
      <c r="E63" s="77"/>
      <c r="F63" s="76"/>
      <c r="G63" s="74"/>
      <c r="H63" s="77"/>
      <c r="I63" s="76"/>
      <c r="J63" s="75"/>
      <c r="K63" s="77"/>
      <c r="L63" s="76"/>
      <c r="M63" s="75"/>
      <c r="N63" s="77"/>
      <c r="O63" s="76"/>
      <c r="P63" s="101" t="s">
        <v>750</v>
      </c>
      <c r="Q63" s="77" t="s">
        <v>174</v>
      </c>
      <c r="R63" s="76" t="s">
        <v>9</v>
      </c>
      <c r="S63" s="75"/>
      <c r="T63" s="77"/>
      <c r="U63" s="76"/>
      <c r="V63" s="75"/>
      <c r="W63" s="77"/>
      <c r="X63" s="76"/>
      <c r="Y63" s="75"/>
      <c r="Z63" s="77"/>
      <c r="AA63" s="76"/>
      <c r="AB63" s="75"/>
      <c r="AC63" s="77"/>
      <c r="AD63" s="76"/>
      <c r="AE63" s="75"/>
      <c r="AF63" s="77"/>
      <c r="AG63" s="76"/>
      <c r="AH63" s="75"/>
      <c r="AI63" s="77"/>
      <c r="AJ63" s="76"/>
      <c r="AK63" s="74"/>
      <c r="AL63" s="77"/>
      <c r="AM63" s="76"/>
      <c r="AN63" s="75"/>
      <c r="AO63" s="77"/>
      <c r="AP63" s="76"/>
      <c r="AQ63" s="75"/>
      <c r="AR63" s="77"/>
      <c r="AS63" s="76"/>
      <c r="AT63" s="75"/>
      <c r="AU63" s="118"/>
      <c r="AV63" s="76"/>
      <c r="AW63" s="75"/>
      <c r="AX63" s="77"/>
      <c r="AY63" s="76"/>
      <c r="AZ63" s="75"/>
      <c r="BA63" s="77"/>
      <c r="BB63" s="76"/>
      <c r="BC63" s="75"/>
      <c r="BD63" s="77"/>
      <c r="BE63" s="76"/>
      <c r="BF63" s="75"/>
      <c r="BG63" s="77"/>
      <c r="BH63" s="76"/>
      <c r="BI63" s="75"/>
      <c r="BJ63" s="77"/>
      <c r="BK63" s="76"/>
      <c r="BL63" s="75"/>
      <c r="BM63" s="77"/>
      <c r="BN63" s="76"/>
      <c r="BO63" s="75"/>
      <c r="BP63" s="77"/>
      <c r="BQ63" s="76"/>
      <c r="BR63" s="75"/>
      <c r="BS63" s="77"/>
      <c r="BT63" s="76"/>
      <c r="BU63" s="75"/>
      <c r="BV63" s="77"/>
      <c r="BW63" s="76"/>
      <c r="BX63" s="75"/>
      <c r="BY63" s="77"/>
      <c r="BZ63" s="76"/>
      <c r="CA63" s="75"/>
      <c r="CB63" s="77"/>
      <c r="CC63" s="76"/>
      <c r="CD63" s="75"/>
      <c r="CE63" s="77"/>
      <c r="CF63" s="76"/>
      <c r="CG63" s="75"/>
      <c r="CH63" s="77"/>
      <c r="CI63" s="76"/>
      <c r="CJ63" s="75"/>
      <c r="CK63" s="77"/>
      <c r="CL63" s="76"/>
    </row>
    <row r="64" spans="1:90" ht="12.75">
      <c r="A64" s="74"/>
      <c r="B64" s="77"/>
      <c r="C64" s="76"/>
      <c r="D64" s="75"/>
      <c r="E64" s="77"/>
      <c r="F64" s="76"/>
      <c r="G64" s="74"/>
      <c r="H64" s="77"/>
      <c r="I64" s="76"/>
      <c r="J64" s="75"/>
      <c r="K64" s="77"/>
      <c r="L64" s="76"/>
      <c r="M64" s="75"/>
      <c r="N64" s="77"/>
      <c r="O64" s="76"/>
      <c r="P64" s="101" t="s">
        <v>750</v>
      </c>
      <c r="Q64" s="77" t="s">
        <v>192</v>
      </c>
      <c r="R64" s="76" t="s">
        <v>9</v>
      </c>
      <c r="S64" s="75"/>
      <c r="T64" s="77"/>
      <c r="U64" s="76"/>
      <c r="V64" s="75"/>
      <c r="W64" s="77"/>
      <c r="X64" s="76"/>
      <c r="Y64" s="75"/>
      <c r="Z64" s="77"/>
      <c r="AA64" s="76"/>
      <c r="AB64" s="75"/>
      <c r="AC64" s="77"/>
      <c r="AD64" s="76"/>
      <c r="AE64" s="75"/>
      <c r="AF64" s="77"/>
      <c r="AG64" s="76"/>
      <c r="AH64" s="75"/>
      <c r="AI64" s="77"/>
      <c r="AJ64" s="76"/>
      <c r="AK64" s="74"/>
      <c r="AL64" s="77"/>
      <c r="AM64" s="76"/>
      <c r="AN64" s="75"/>
      <c r="AO64" s="77"/>
      <c r="AP64" s="76"/>
      <c r="AQ64" s="75"/>
      <c r="AR64" s="77"/>
      <c r="AS64" s="76"/>
      <c r="AT64" s="75"/>
      <c r="AU64" s="118"/>
      <c r="AV64" s="76"/>
      <c r="AW64" s="75"/>
      <c r="AX64" s="77"/>
      <c r="AY64" s="76"/>
      <c r="AZ64" s="75"/>
      <c r="BA64" s="77"/>
      <c r="BB64" s="76"/>
      <c r="BC64" s="75"/>
      <c r="BD64" s="77"/>
      <c r="BE64" s="76"/>
      <c r="BF64" s="75"/>
      <c r="BG64" s="77"/>
      <c r="BH64" s="76"/>
      <c r="BI64" s="75"/>
      <c r="BJ64" s="77"/>
      <c r="BK64" s="76"/>
      <c r="BL64" s="75"/>
      <c r="BM64" s="77"/>
      <c r="BN64" s="76"/>
      <c r="BO64" s="75"/>
      <c r="BP64" s="77"/>
      <c r="BQ64" s="76"/>
      <c r="BR64" s="75"/>
      <c r="BS64" s="77"/>
      <c r="BT64" s="76"/>
      <c r="BU64" s="75"/>
      <c r="BV64" s="77"/>
      <c r="BW64" s="76"/>
      <c r="BX64" s="75"/>
      <c r="BY64" s="77"/>
      <c r="BZ64" s="76"/>
      <c r="CA64" s="75"/>
      <c r="CB64" s="77"/>
      <c r="CC64" s="76"/>
      <c r="CD64" s="75"/>
      <c r="CE64" s="77"/>
      <c r="CF64" s="76"/>
      <c r="CG64" s="75"/>
      <c r="CH64" s="77"/>
      <c r="CI64" s="76"/>
      <c r="CJ64" s="75"/>
      <c r="CK64" s="77"/>
      <c r="CL64" s="76"/>
    </row>
    <row r="65" spans="1:90" ht="12.75">
      <c r="A65" s="74"/>
      <c r="B65" s="77"/>
      <c r="C65" s="76"/>
      <c r="D65" s="75"/>
      <c r="E65" s="77"/>
      <c r="F65" s="76"/>
      <c r="G65" s="74"/>
      <c r="H65" s="77"/>
      <c r="I65" s="76"/>
      <c r="J65" s="75"/>
      <c r="K65" s="77"/>
      <c r="L65" s="76"/>
      <c r="M65" s="75"/>
      <c r="N65" s="77"/>
      <c r="O65" s="76"/>
      <c r="P65" s="75"/>
      <c r="Q65" s="77"/>
      <c r="R65" s="76"/>
      <c r="S65" s="75"/>
      <c r="T65" s="77"/>
      <c r="U65" s="76"/>
      <c r="V65" s="75"/>
      <c r="W65" s="77"/>
      <c r="X65" s="76"/>
      <c r="Y65" s="75"/>
      <c r="Z65" s="77"/>
      <c r="AA65" s="76"/>
      <c r="AB65" s="75"/>
      <c r="AC65" s="77"/>
      <c r="AD65" s="76"/>
      <c r="AE65" s="75"/>
      <c r="AF65" s="77"/>
      <c r="AG65" s="76"/>
      <c r="AH65" s="75"/>
      <c r="AI65" s="77"/>
      <c r="AJ65" s="76"/>
      <c r="AK65" s="74"/>
      <c r="AL65" s="77"/>
      <c r="AM65" s="76"/>
      <c r="AN65" s="75"/>
      <c r="AO65" s="77"/>
      <c r="AP65" s="76"/>
      <c r="AQ65" s="75"/>
      <c r="AR65" s="77"/>
      <c r="AS65" s="76"/>
      <c r="AT65" s="75"/>
      <c r="AU65" s="118"/>
      <c r="AV65" s="76"/>
      <c r="AW65" s="75"/>
      <c r="AX65" s="77"/>
      <c r="AY65" s="76"/>
      <c r="AZ65" s="75"/>
      <c r="BA65" s="77"/>
      <c r="BB65" s="76"/>
      <c r="BC65" s="75"/>
      <c r="BD65" s="77"/>
      <c r="BE65" s="76"/>
      <c r="BF65" s="75"/>
      <c r="BG65" s="77"/>
      <c r="BH65" s="76"/>
      <c r="BI65" s="75"/>
      <c r="BJ65" s="77"/>
      <c r="BK65" s="76"/>
      <c r="BL65" s="75"/>
      <c r="BM65" s="77"/>
      <c r="BN65" s="76"/>
      <c r="BO65" s="75"/>
      <c r="BP65" s="77"/>
      <c r="BQ65" s="76"/>
      <c r="BR65" s="75"/>
      <c r="BS65" s="77"/>
      <c r="BT65" s="76"/>
      <c r="BU65" s="75"/>
      <c r="BV65" s="77"/>
      <c r="BW65" s="76"/>
      <c r="BX65" s="75"/>
      <c r="BY65" s="77"/>
      <c r="BZ65" s="76"/>
      <c r="CA65" s="75"/>
      <c r="CB65" s="77"/>
      <c r="CC65" s="76"/>
      <c r="CD65" s="75"/>
      <c r="CE65" s="77"/>
      <c r="CF65" s="76"/>
      <c r="CG65" s="75"/>
      <c r="CH65" s="77"/>
      <c r="CI65" s="76"/>
      <c r="CJ65" s="75"/>
      <c r="CK65" s="77"/>
      <c r="CL65" s="76"/>
    </row>
    <row r="66" spans="1:90" ht="12.75">
      <c r="A66" s="74"/>
      <c r="B66" s="77"/>
      <c r="C66" s="76"/>
      <c r="D66" s="75"/>
      <c r="E66" s="77"/>
      <c r="F66" s="76"/>
      <c r="G66" s="74"/>
      <c r="H66" s="77"/>
      <c r="I66" s="76"/>
      <c r="J66" s="75"/>
      <c r="K66" s="77"/>
      <c r="L66" s="76"/>
      <c r="M66" s="75"/>
      <c r="N66" s="77"/>
      <c r="O66" s="76"/>
      <c r="P66" s="75"/>
      <c r="Q66" s="77"/>
      <c r="R66" s="76"/>
      <c r="S66" s="75"/>
      <c r="T66" s="77"/>
      <c r="U66" s="76"/>
      <c r="V66" s="75"/>
      <c r="W66" s="77"/>
      <c r="X66" s="76"/>
      <c r="Y66" s="75"/>
      <c r="Z66" s="77"/>
      <c r="AA66" s="76"/>
      <c r="AB66" s="75"/>
      <c r="AC66" s="77"/>
      <c r="AD66" s="76"/>
      <c r="AE66" s="75"/>
      <c r="AF66" s="77"/>
      <c r="AG66" s="76"/>
      <c r="AH66" s="75"/>
      <c r="AI66" s="77"/>
      <c r="AJ66" s="76"/>
      <c r="AK66" s="74"/>
      <c r="AL66" s="77"/>
      <c r="AM66" s="76"/>
      <c r="AN66" s="75"/>
      <c r="AO66" s="77"/>
      <c r="AP66" s="76"/>
      <c r="AQ66" s="75"/>
      <c r="AR66" s="77"/>
      <c r="AS66" s="76"/>
      <c r="AT66" s="75"/>
      <c r="AU66" s="118"/>
      <c r="AV66" s="76"/>
      <c r="AW66" s="75"/>
      <c r="AX66" s="77"/>
      <c r="AY66" s="76"/>
      <c r="AZ66" s="75"/>
      <c r="BA66" s="77"/>
      <c r="BB66" s="76"/>
      <c r="BC66" s="75"/>
      <c r="BD66" s="77"/>
      <c r="BE66" s="76"/>
      <c r="BF66" s="75"/>
      <c r="BG66" s="77"/>
      <c r="BH66" s="76"/>
      <c r="BI66" s="75"/>
      <c r="BJ66" s="77"/>
      <c r="BK66" s="76"/>
      <c r="BL66" s="75"/>
      <c r="BM66" s="77"/>
      <c r="BN66" s="76"/>
      <c r="BO66" s="75"/>
      <c r="BP66" s="77"/>
      <c r="BQ66" s="76"/>
      <c r="BR66" s="75"/>
      <c r="BS66" s="77"/>
      <c r="BT66" s="76"/>
      <c r="BU66" s="75"/>
      <c r="BV66" s="77"/>
      <c r="BW66" s="76"/>
      <c r="BX66" s="75"/>
      <c r="BY66" s="77"/>
      <c r="BZ66" s="76"/>
      <c r="CA66" s="75"/>
      <c r="CB66" s="77"/>
      <c r="CC66" s="76"/>
      <c r="CD66" s="75"/>
      <c r="CE66" s="77"/>
      <c r="CF66" s="76"/>
      <c r="CG66" s="75"/>
      <c r="CH66" s="77"/>
      <c r="CI66" s="76"/>
      <c r="CJ66" s="75"/>
      <c r="CK66" s="77"/>
      <c r="CL66" s="76"/>
    </row>
    <row r="67" spans="1:90" ht="12.75">
      <c r="A67" s="74"/>
      <c r="B67" s="77"/>
      <c r="C67" s="76"/>
      <c r="D67" s="75"/>
      <c r="E67" s="77"/>
      <c r="F67" s="76"/>
      <c r="G67" s="74"/>
      <c r="H67" s="77"/>
      <c r="I67" s="76"/>
      <c r="J67" s="75"/>
      <c r="K67" s="77"/>
      <c r="L67" s="76"/>
      <c r="M67" s="75"/>
      <c r="N67" s="77"/>
      <c r="O67" s="76"/>
      <c r="P67" s="75"/>
      <c r="Q67" s="77"/>
      <c r="R67" s="76"/>
      <c r="S67" s="75"/>
      <c r="T67" s="77"/>
      <c r="U67" s="76"/>
      <c r="V67" s="75"/>
      <c r="W67" s="77"/>
      <c r="X67" s="76"/>
      <c r="Y67" s="75"/>
      <c r="Z67" s="77"/>
      <c r="AA67" s="76"/>
      <c r="AB67" s="75"/>
      <c r="AC67" s="77"/>
      <c r="AD67" s="76"/>
      <c r="AE67" s="75"/>
      <c r="AF67" s="77"/>
      <c r="AG67" s="76"/>
      <c r="AH67" s="75"/>
      <c r="AI67" s="77"/>
      <c r="AJ67" s="76"/>
      <c r="AK67" s="74"/>
      <c r="AL67" s="77"/>
      <c r="AM67" s="76"/>
      <c r="AN67" s="75"/>
      <c r="AO67" s="77"/>
      <c r="AP67" s="76"/>
      <c r="AQ67" s="75"/>
      <c r="AR67" s="77"/>
      <c r="AS67" s="76"/>
      <c r="AT67" s="75"/>
      <c r="AU67" s="118"/>
      <c r="AV67" s="76"/>
      <c r="AW67" s="75"/>
      <c r="AX67" s="77"/>
      <c r="AY67" s="76"/>
      <c r="AZ67" s="75"/>
      <c r="BA67" s="77"/>
      <c r="BB67" s="76"/>
      <c r="BC67" s="75"/>
      <c r="BD67" s="77"/>
      <c r="BE67" s="76"/>
      <c r="BF67" s="75"/>
      <c r="BG67" s="77"/>
      <c r="BH67" s="76"/>
      <c r="BI67" s="75"/>
      <c r="BJ67" s="77"/>
      <c r="BK67" s="76"/>
      <c r="BL67" s="75"/>
      <c r="BM67" s="77"/>
      <c r="BN67" s="76"/>
      <c r="BO67" s="75"/>
      <c r="BP67" s="77"/>
      <c r="BQ67" s="76"/>
      <c r="BR67" s="75"/>
      <c r="BS67" s="77"/>
      <c r="BT67" s="76"/>
      <c r="BU67" s="75"/>
      <c r="BV67" s="77"/>
      <c r="BW67" s="76"/>
      <c r="BX67" s="75"/>
      <c r="BY67" s="77"/>
      <c r="BZ67" s="76"/>
      <c r="CA67" s="75"/>
      <c r="CB67" s="77"/>
      <c r="CC67" s="76"/>
      <c r="CD67" s="75"/>
      <c r="CE67" s="77"/>
      <c r="CF67" s="76"/>
      <c r="CG67" s="75"/>
      <c r="CH67" s="77"/>
      <c r="CI67" s="76"/>
      <c r="CJ67" s="75"/>
      <c r="CK67" s="77"/>
      <c r="CL67" s="76"/>
    </row>
    <row r="68" spans="1:90" ht="12.75">
      <c r="A68" s="74"/>
      <c r="B68" s="77"/>
      <c r="C68" s="76"/>
      <c r="D68" s="75"/>
      <c r="E68" s="77"/>
      <c r="F68" s="76"/>
      <c r="G68" s="74"/>
      <c r="H68" s="77"/>
      <c r="I68" s="76"/>
      <c r="J68" s="75"/>
      <c r="K68" s="77"/>
      <c r="L68" s="76"/>
      <c r="M68" s="75"/>
      <c r="N68" s="77"/>
      <c r="O68" s="76"/>
      <c r="P68" s="75"/>
      <c r="Q68" s="77"/>
      <c r="R68" s="76"/>
      <c r="S68" s="75"/>
      <c r="T68" s="77"/>
      <c r="U68" s="76"/>
      <c r="V68" s="75"/>
      <c r="W68" s="77"/>
      <c r="X68" s="76"/>
      <c r="Y68" s="75"/>
      <c r="Z68" s="77"/>
      <c r="AA68" s="76"/>
      <c r="AB68" s="75"/>
      <c r="AC68" s="77"/>
      <c r="AD68" s="76"/>
      <c r="AE68" s="75"/>
      <c r="AF68" s="77"/>
      <c r="AG68" s="76"/>
      <c r="AH68" s="75"/>
      <c r="AI68" s="77"/>
      <c r="AJ68" s="76"/>
      <c r="AK68" s="74"/>
      <c r="AL68" s="77"/>
      <c r="AM68" s="76"/>
      <c r="AN68" s="75"/>
      <c r="AO68" s="77"/>
      <c r="AP68" s="76"/>
      <c r="AQ68" s="75"/>
      <c r="AR68" s="77"/>
      <c r="AS68" s="76"/>
      <c r="AT68" s="75"/>
      <c r="AU68" s="118"/>
      <c r="AV68" s="76"/>
      <c r="AW68" s="75"/>
      <c r="AX68" s="77"/>
      <c r="AY68" s="76"/>
      <c r="AZ68" s="75"/>
      <c r="BA68" s="77"/>
      <c r="BB68" s="76"/>
      <c r="BC68" s="75"/>
      <c r="BD68" s="77"/>
      <c r="BE68" s="76"/>
      <c r="BF68" s="75"/>
      <c r="BG68" s="77"/>
      <c r="BH68" s="76"/>
      <c r="BI68" s="75"/>
      <c r="BJ68" s="77"/>
      <c r="BK68" s="76"/>
      <c r="BL68" s="75"/>
      <c r="BM68" s="77"/>
      <c r="BN68" s="76"/>
      <c r="BO68" s="75"/>
      <c r="BP68" s="77"/>
      <c r="BQ68" s="76"/>
      <c r="BR68" s="75"/>
      <c r="BS68" s="77"/>
      <c r="BT68" s="76"/>
      <c r="BU68" s="75"/>
      <c r="BV68" s="77"/>
      <c r="BW68" s="76"/>
      <c r="BX68" s="75"/>
      <c r="BY68" s="77"/>
      <c r="BZ68" s="76"/>
      <c r="CA68" s="75"/>
      <c r="CB68" s="77"/>
      <c r="CC68" s="76"/>
      <c r="CD68" s="75"/>
      <c r="CE68" s="77"/>
      <c r="CF68" s="76"/>
      <c r="CG68" s="75"/>
      <c r="CH68" s="77"/>
      <c r="CI68" s="76"/>
      <c r="CJ68" s="75"/>
      <c r="CK68" s="77"/>
      <c r="CL68" s="76"/>
    </row>
    <row r="69" spans="1:90" ht="12.75">
      <c r="A69" s="74"/>
      <c r="B69" s="77"/>
      <c r="C69" s="76"/>
      <c r="D69" s="75"/>
      <c r="E69" s="77"/>
      <c r="F69" s="76"/>
      <c r="G69" s="74"/>
      <c r="H69" s="77"/>
      <c r="I69" s="76"/>
      <c r="J69" s="75"/>
      <c r="K69" s="77"/>
      <c r="L69" s="76"/>
      <c r="M69" s="75"/>
      <c r="N69" s="77"/>
      <c r="O69" s="76"/>
      <c r="P69" s="75"/>
      <c r="Q69" s="77"/>
      <c r="R69" s="76"/>
      <c r="S69" s="75"/>
      <c r="T69" s="77"/>
      <c r="U69" s="76"/>
      <c r="V69" s="75"/>
      <c r="W69" s="77"/>
      <c r="X69" s="76"/>
      <c r="Y69" s="75"/>
      <c r="Z69" s="77"/>
      <c r="AA69" s="76"/>
      <c r="AB69" s="75"/>
      <c r="AC69" s="77"/>
      <c r="AD69" s="76"/>
      <c r="AE69" s="75"/>
      <c r="AF69" s="77"/>
      <c r="AG69" s="76"/>
      <c r="AH69" s="75"/>
      <c r="AI69" s="77"/>
      <c r="AJ69" s="76"/>
      <c r="AK69" s="74"/>
      <c r="AL69" s="77"/>
      <c r="AM69" s="76"/>
      <c r="AN69" s="75"/>
      <c r="AO69" s="77"/>
      <c r="AP69" s="76"/>
      <c r="AQ69" s="75"/>
      <c r="AR69" s="77"/>
      <c r="AS69" s="76"/>
      <c r="AT69" s="75"/>
      <c r="AU69" s="118"/>
      <c r="AV69" s="76"/>
      <c r="AW69" s="75"/>
      <c r="AX69" s="77"/>
      <c r="AY69" s="76"/>
      <c r="AZ69" s="75"/>
      <c r="BA69" s="77"/>
      <c r="BB69" s="76"/>
      <c r="BC69" s="75"/>
      <c r="BD69" s="77"/>
      <c r="BE69" s="76"/>
      <c r="BF69" s="75"/>
      <c r="BG69" s="77"/>
      <c r="BH69" s="76"/>
      <c r="BI69" s="75"/>
      <c r="BJ69" s="77"/>
      <c r="BK69" s="76"/>
      <c r="BL69" s="75"/>
      <c r="BM69" s="77"/>
      <c r="BN69" s="76"/>
      <c r="BO69" s="75"/>
      <c r="BP69" s="77"/>
      <c r="BQ69" s="76"/>
      <c r="BR69" s="75"/>
      <c r="BS69" s="77"/>
      <c r="BT69" s="76"/>
      <c r="BU69" s="75"/>
      <c r="BV69" s="77"/>
      <c r="BW69" s="76"/>
      <c r="BX69" s="75"/>
      <c r="BY69" s="77"/>
      <c r="BZ69" s="76"/>
      <c r="CA69" s="75"/>
      <c r="CB69" s="77"/>
      <c r="CC69" s="76"/>
      <c r="CD69" s="75"/>
      <c r="CE69" s="77"/>
      <c r="CF69" s="76"/>
      <c r="CG69" s="75"/>
      <c r="CH69" s="77"/>
      <c r="CI69" s="76"/>
      <c r="CJ69" s="75"/>
      <c r="CK69" s="77"/>
      <c r="CL69" s="76"/>
    </row>
    <row r="70" spans="1:90" ht="12.75">
      <c r="A70" s="74"/>
      <c r="B70" s="77"/>
      <c r="C70" s="76"/>
      <c r="D70" s="75"/>
      <c r="E70" s="77"/>
      <c r="F70" s="76"/>
      <c r="G70" s="74"/>
      <c r="H70" s="77"/>
      <c r="I70" s="76"/>
      <c r="J70" s="75"/>
      <c r="K70" s="77"/>
      <c r="L70" s="76"/>
      <c r="M70" s="75"/>
      <c r="N70" s="77"/>
      <c r="O70" s="76"/>
      <c r="P70" s="75"/>
      <c r="Q70" s="77"/>
      <c r="R70" s="76"/>
      <c r="S70" s="75"/>
      <c r="T70" s="77"/>
      <c r="U70" s="76"/>
      <c r="V70" s="75"/>
      <c r="W70" s="77"/>
      <c r="X70" s="76"/>
      <c r="Y70" s="75"/>
      <c r="Z70" s="77"/>
      <c r="AA70" s="76"/>
      <c r="AB70" s="75"/>
      <c r="AC70" s="77"/>
      <c r="AD70" s="76"/>
      <c r="AE70" s="75"/>
      <c r="AF70" s="77"/>
      <c r="AG70" s="76"/>
      <c r="AH70" s="75"/>
      <c r="AI70" s="77"/>
      <c r="AJ70" s="76"/>
      <c r="AK70" s="74"/>
      <c r="AL70" s="77"/>
      <c r="AM70" s="76"/>
      <c r="AN70" s="75"/>
      <c r="AO70" s="77"/>
      <c r="AP70" s="76"/>
      <c r="AQ70" s="75"/>
      <c r="AR70" s="77"/>
      <c r="AS70" s="76"/>
      <c r="AT70" s="75"/>
      <c r="AU70" s="118"/>
      <c r="AV70" s="76"/>
      <c r="AW70" s="75"/>
      <c r="AX70" s="77"/>
      <c r="AY70" s="76"/>
      <c r="AZ70" s="75"/>
      <c r="BA70" s="77"/>
      <c r="BB70" s="76"/>
      <c r="BC70" s="75"/>
      <c r="BD70" s="77"/>
      <c r="BE70" s="76"/>
      <c r="BF70" s="75"/>
      <c r="BG70" s="77"/>
      <c r="BH70" s="76"/>
      <c r="BI70" s="75"/>
      <c r="BJ70" s="77"/>
      <c r="BK70" s="76"/>
      <c r="BL70" s="75"/>
      <c r="BM70" s="77"/>
      <c r="BN70" s="76"/>
      <c r="BO70" s="75"/>
      <c r="BP70" s="77"/>
      <c r="BQ70" s="76"/>
      <c r="BR70" s="75"/>
      <c r="BS70" s="77"/>
      <c r="BT70" s="76"/>
      <c r="BU70" s="75"/>
      <c r="BV70" s="77"/>
      <c r="BW70" s="76"/>
      <c r="BX70" s="75"/>
      <c r="BY70" s="77"/>
      <c r="BZ70" s="76"/>
      <c r="CA70" s="75"/>
      <c r="CB70" s="77"/>
      <c r="CC70" s="76"/>
      <c r="CD70" s="75"/>
      <c r="CE70" s="77"/>
      <c r="CF70" s="76"/>
      <c r="CG70" s="75"/>
      <c r="CH70" s="77"/>
      <c r="CI70" s="76"/>
      <c r="CJ70" s="75"/>
      <c r="CK70" s="77"/>
      <c r="CL70" s="76"/>
    </row>
    <row r="71" spans="1:90" ht="12.75">
      <c r="A71" s="74"/>
      <c r="B71" s="77"/>
      <c r="C71" s="76"/>
      <c r="D71" s="75"/>
      <c r="E71" s="77"/>
      <c r="F71" s="76"/>
      <c r="G71" s="74"/>
      <c r="H71" s="77"/>
      <c r="I71" s="76"/>
      <c r="J71" s="75"/>
      <c r="K71" s="77"/>
      <c r="L71" s="76"/>
      <c r="M71" s="75"/>
      <c r="N71" s="77"/>
      <c r="O71" s="76"/>
      <c r="P71" s="75"/>
      <c r="Q71" s="77"/>
      <c r="R71" s="76"/>
      <c r="S71" s="75"/>
      <c r="T71" s="77"/>
      <c r="U71" s="76"/>
      <c r="V71" s="75"/>
      <c r="W71" s="77"/>
      <c r="X71" s="76"/>
      <c r="Y71" s="75"/>
      <c r="Z71" s="77"/>
      <c r="AA71" s="76"/>
      <c r="AB71" s="75"/>
      <c r="AC71" s="77"/>
      <c r="AD71" s="76"/>
      <c r="AE71" s="75"/>
      <c r="AF71" s="77"/>
      <c r="AG71" s="76"/>
      <c r="AH71" s="75"/>
      <c r="AI71" s="77"/>
      <c r="AJ71" s="76"/>
      <c r="AK71" s="74"/>
      <c r="AL71" s="77"/>
      <c r="AM71" s="76"/>
      <c r="AN71" s="75"/>
      <c r="AO71" s="77"/>
      <c r="AP71" s="76"/>
      <c r="AQ71" s="75"/>
      <c r="AR71" s="77"/>
      <c r="AS71" s="76"/>
      <c r="AT71" s="75"/>
      <c r="AU71" s="118"/>
      <c r="AV71" s="76"/>
      <c r="AW71" s="75"/>
      <c r="AX71" s="77"/>
      <c r="AY71" s="76"/>
      <c r="AZ71" s="75"/>
      <c r="BA71" s="77"/>
      <c r="BB71" s="76"/>
      <c r="BC71" s="75"/>
      <c r="BD71" s="77"/>
      <c r="BE71" s="76"/>
      <c r="BF71" s="75"/>
      <c r="BG71" s="77"/>
      <c r="BH71" s="76"/>
      <c r="BI71" s="75"/>
      <c r="BJ71" s="77"/>
      <c r="BK71" s="76"/>
      <c r="BL71" s="75"/>
      <c r="BM71" s="77"/>
      <c r="BN71" s="76"/>
      <c r="BO71" s="75"/>
      <c r="BP71" s="77"/>
      <c r="BQ71" s="76"/>
      <c r="BR71" s="75"/>
      <c r="BS71" s="77"/>
      <c r="BT71" s="76"/>
      <c r="BU71" s="75"/>
      <c r="BV71" s="77"/>
      <c r="BW71" s="76"/>
      <c r="BX71" s="75"/>
      <c r="BY71" s="77"/>
      <c r="BZ71" s="76"/>
      <c r="CA71" s="75"/>
      <c r="CB71" s="77"/>
      <c r="CC71" s="76"/>
      <c r="CD71" s="75"/>
      <c r="CE71" s="77"/>
      <c r="CF71" s="76"/>
      <c r="CG71" s="75"/>
      <c r="CH71" s="77"/>
      <c r="CI71" s="76"/>
      <c r="CJ71" s="75"/>
      <c r="CK71" s="77"/>
      <c r="CL71" s="76"/>
    </row>
    <row r="72" spans="1:90" ht="12.75">
      <c r="A72" s="74"/>
      <c r="B72" s="77"/>
      <c r="C72" s="76"/>
      <c r="D72" s="75"/>
      <c r="E72" s="77"/>
      <c r="F72" s="76"/>
      <c r="G72" s="74"/>
      <c r="H72" s="77"/>
      <c r="I72" s="76"/>
      <c r="J72" s="75"/>
      <c r="K72" s="77"/>
      <c r="L72" s="76"/>
      <c r="M72" s="75"/>
      <c r="N72" s="77"/>
      <c r="O72" s="76"/>
      <c r="P72" s="75"/>
      <c r="Q72" s="77"/>
      <c r="R72" s="76"/>
      <c r="S72" s="75"/>
      <c r="T72" s="77"/>
      <c r="U72" s="76"/>
      <c r="V72" s="75"/>
      <c r="W72" s="77"/>
      <c r="X72" s="76"/>
      <c r="Y72" s="75"/>
      <c r="Z72" s="77"/>
      <c r="AA72" s="76"/>
      <c r="AB72" s="75"/>
      <c r="AC72" s="77"/>
      <c r="AD72" s="76"/>
      <c r="AE72" s="75"/>
      <c r="AF72" s="77"/>
      <c r="AG72" s="76"/>
      <c r="AH72" s="75"/>
      <c r="AI72" s="77"/>
      <c r="AJ72" s="76"/>
      <c r="AK72" s="74"/>
      <c r="AL72" s="77"/>
      <c r="AM72" s="76"/>
      <c r="AN72" s="75"/>
      <c r="AO72" s="77"/>
      <c r="AP72" s="76"/>
      <c r="AQ72" s="75"/>
      <c r="AR72" s="77"/>
      <c r="AS72" s="76"/>
      <c r="AT72" s="75"/>
      <c r="AU72" s="118"/>
      <c r="AV72" s="76"/>
      <c r="AW72" s="75"/>
      <c r="AX72" s="77"/>
      <c r="AY72" s="76"/>
      <c r="AZ72" s="75"/>
      <c r="BA72" s="77"/>
      <c r="BB72" s="76"/>
      <c r="BC72" s="75"/>
      <c r="BD72" s="77"/>
      <c r="BE72" s="76"/>
      <c r="BF72" s="75"/>
      <c r="BG72" s="77"/>
      <c r="BH72" s="76"/>
      <c r="BI72" s="75"/>
      <c r="BJ72" s="77"/>
      <c r="BK72" s="76"/>
      <c r="BL72" s="75"/>
      <c r="BM72" s="77"/>
      <c r="BN72" s="76"/>
      <c r="BO72" s="75"/>
      <c r="BP72" s="77"/>
      <c r="BQ72" s="76"/>
      <c r="BR72" s="75"/>
      <c r="BS72" s="77"/>
      <c r="BT72" s="76"/>
      <c r="BU72" s="75"/>
      <c r="BV72" s="77"/>
      <c r="BW72" s="76"/>
      <c r="BX72" s="75"/>
      <c r="BY72" s="77"/>
      <c r="BZ72" s="76"/>
      <c r="CA72" s="75"/>
      <c r="CB72" s="77"/>
      <c r="CC72" s="76"/>
      <c r="CD72" s="75"/>
      <c r="CE72" s="77"/>
      <c r="CF72" s="76"/>
      <c r="CG72" s="75"/>
      <c r="CH72" s="77"/>
      <c r="CI72" s="76"/>
      <c r="CJ72" s="75"/>
      <c r="CK72" s="77"/>
      <c r="CL72" s="76"/>
    </row>
    <row r="73" spans="1:90" ht="12.75">
      <c r="A73" s="74"/>
      <c r="B73" s="77"/>
      <c r="C73" s="76"/>
      <c r="D73" s="75"/>
      <c r="E73" s="77"/>
      <c r="F73" s="76"/>
      <c r="G73" s="74"/>
      <c r="H73" s="77"/>
      <c r="I73" s="76"/>
      <c r="J73" s="75"/>
      <c r="K73" s="77"/>
      <c r="L73" s="76"/>
      <c r="M73" s="75"/>
      <c r="N73" s="77"/>
      <c r="O73" s="76"/>
      <c r="P73" s="75"/>
      <c r="Q73" s="77"/>
      <c r="R73" s="76"/>
      <c r="S73" s="75"/>
      <c r="T73" s="77"/>
      <c r="U73" s="76"/>
      <c r="V73" s="75"/>
      <c r="W73" s="77"/>
      <c r="X73" s="76"/>
      <c r="Y73" s="75"/>
      <c r="Z73" s="77"/>
      <c r="AA73" s="76"/>
      <c r="AB73" s="75"/>
      <c r="AC73" s="77"/>
      <c r="AD73" s="76"/>
      <c r="AE73" s="75"/>
      <c r="AF73" s="77"/>
      <c r="AG73" s="76"/>
      <c r="AH73" s="75"/>
      <c r="AI73" s="77"/>
      <c r="AJ73" s="76"/>
      <c r="AK73" s="74"/>
      <c r="AL73" s="77"/>
      <c r="AM73" s="76"/>
      <c r="AN73" s="75"/>
      <c r="AO73" s="77"/>
      <c r="AP73" s="76"/>
      <c r="AQ73" s="75"/>
      <c r="AR73" s="77"/>
      <c r="AS73" s="76"/>
      <c r="AT73" s="75"/>
      <c r="AU73" s="118"/>
      <c r="AV73" s="76"/>
      <c r="AW73" s="75"/>
      <c r="AX73" s="77"/>
      <c r="AY73" s="76"/>
      <c r="AZ73" s="75"/>
      <c r="BA73" s="77"/>
      <c r="BB73" s="76"/>
      <c r="BC73" s="75"/>
      <c r="BD73" s="77"/>
      <c r="BE73" s="76"/>
      <c r="BF73" s="75"/>
      <c r="BG73" s="77"/>
      <c r="BH73" s="76"/>
      <c r="BI73" s="75"/>
      <c r="BJ73" s="77"/>
      <c r="BK73" s="76"/>
      <c r="BL73" s="75"/>
      <c r="BM73" s="77"/>
      <c r="BN73" s="76"/>
      <c r="BO73" s="75"/>
      <c r="BP73" s="77"/>
      <c r="BQ73" s="76"/>
      <c r="BR73" s="75"/>
      <c r="BS73" s="77"/>
      <c r="BT73" s="76"/>
      <c r="BU73" s="75"/>
      <c r="BV73" s="77"/>
      <c r="BW73" s="76"/>
      <c r="BX73" s="75"/>
      <c r="BY73" s="77"/>
      <c r="BZ73" s="76"/>
      <c r="CA73" s="75"/>
      <c r="CB73" s="77"/>
      <c r="CC73" s="76"/>
      <c r="CD73" s="75"/>
      <c r="CE73" s="77"/>
      <c r="CF73" s="76"/>
      <c r="CG73" s="75"/>
      <c r="CH73" s="77"/>
      <c r="CI73" s="76"/>
      <c r="CJ73" s="75"/>
      <c r="CK73" s="77"/>
      <c r="CL73" s="76"/>
    </row>
    <row r="74" spans="1:90" ht="12.75">
      <c r="A74" s="74"/>
      <c r="B74" s="77"/>
      <c r="C74" s="76"/>
      <c r="D74" s="75"/>
      <c r="E74" s="77"/>
      <c r="F74" s="76"/>
      <c r="G74" s="74"/>
      <c r="H74" s="77"/>
      <c r="I74" s="76"/>
      <c r="J74" s="75"/>
      <c r="K74" s="77"/>
      <c r="L74" s="76"/>
      <c r="M74" s="75"/>
      <c r="N74" s="77"/>
      <c r="O74" s="76"/>
      <c r="P74" s="75"/>
      <c r="Q74" s="77"/>
      <c r="R74" s="76"/>
      <c r="S74" s="75"/>
      <c r="T74" s="77"/>
      <c r="U74" s="76"/>
      <c r="V74" s="75"/>
      <c r="W74" s="77"/>
      <c r="X74" s="76"/>
      <c r="Y74" s="75"/>
      <c r="Z74" s="77"/>
      <c r="AA74" s="76"/>
      <c r="AB74" s="75"/>
      <c r="AC74" s="77"/>
      <c r="AD74" s="76"/>
      <c r="AE74" s="75"/>
      <c r="AF74" s="77"/>
      <c r="AG74" s="76"/>
      <c r="AH74" s="75"/>
      <c r="AI74" s="77"/>
      <c r="AJ74" s="76"/>
      <c r="AK74" s="74"/>
      <c r="AL74" s="77"/>
      <c r="AM74" s="76"/>
      <c r="AN74" s="75"/>
      <c r="AO74" s="77"/>
      <c r="AP74" s="76"/>
      <c r="AQ74" s="75"/>
      <c r="AR74" s="77"/>
      <c r="AS74" s="76"/>
      <c r="AT74" s="75"/>
      <c r="AU74" s="118"/>
      <c r="AV74" s="76"/>
      <c r="AW74" s="75"/>
      <c r="AX74" s="77"/>
      <c r="AY74" s="76"/>
      <c r="AZ74" s="75"/>
      <c r="BA74" s="77"/>
      <c r="BB74" s="76"/>
      <c r="BC74" s="75"/>
      <c r="BD74" s="77"/>
      <c r="BE74" s="76"/>
      <c r="BF74" s="75"/>
      <c r="BG74" s="77"/>
      <c r="BH74" s="76"/>
      <c r="BI74" s="75"/>
      <c r="BJ74" s="77"/>
      <c r="BK74" s="76"/>
      <c r="BL74" s="75"/>
      <c r="BM74" s="77"/>
      <c r="BN74" s="76"/>
      <c r="BO74" s="75"/>
      <c r="BP74" s="77"/>
      <c r="BQ74" s="76"/>
      <c r="BR74" s="75"/>
      <c r="BS74" s="77"/>
      <c r="BT74" s="76"/>
      <c r="BU74" s="75"/>
      <c r="BV74" s="77"/>
      <c r="BW74" s="76"/>
      <c r="BX74" s="75"/>
      <c r="BY74" s="77"/>
      <c r="BZ74" s="76"/>
      <c r="CA74" s="75"/>
      <c r="CB74" s="77"/>
      <c r="CC74" s="76"/>
      <c r="CD74" s="75"/>
      <c r="CE74" s="77"/>
      <c r="CF74" s="76"/>
      <c r="CG74" s="75"/>
      <c r="CH74" s="77"/>
      <c r="CI74" s="76"/>
      <c r="CJ74" s="75"/>
      <c r="CK74" s="77"/>
      <c r="CL74" s="76"/>
    </row>
    <row r="75" spans="1:90" ht="12.75">
      <c r="A75" s="74"/>
      <c r="B75" s="77"/>
      <c r="C75" s="76"/>
      <c r="D75" s="75"/>
      <c r="E75" s="77"/>
      <c r="F75" s="76"/>
      <c r="G75" s="74"/>
      <c r="H75" s="77"/>
      <c r="I75" s="76"/>
      <c r="J75" s="75"/>
      <c r="K75" s="77"/>
      <c r="L75" s="76"/>
      <c r="M75" s="75"/>
      <c r="N75" s="77"/>
      <c r="O75" s="76"/>
      <c r="P75" s="75"/>
      <c r="Q75" s="77"/>
      <c r="R75" s="76"/>
      <c r="S75" s="75"/>
      <c r="T75" s="77"/>
      <c r="U75" s="76"/>
      <c r="V75" s="75"/>
      <c r="W75" s="77"/>
      <c r="X75" s="76"/>
      <c r="Y75" s="75"/>
      <c r="Z75" s="77"/>
      <c r="AA75" s="76"/>
      <c r="AB75" s="75"/>
      <c r="AC75" s="77"/>
      <c r="AD75" s="76"/>
      <c r="AE75" s="75"/>
      <c r="AF75" s="77"/>
      <c r="AG75" s="76"/>
      <c r="AH75" s="75"/>
      <c r="AI75" s="77"/>
      <c r="AJ75" s="76"/>
      <c r="AK75" s="74"/>
      <c r="AL75" s="77"/>
      <c r="AM75" s="76"/>
      <c r="AN75" s="75"/>
      <c r="AO75" s="77"/>
      <c r="AP75" s="76"/>
      <c r="AQ75" s="75"/>
      <c r="AR75" s="77"/>
      <c r="AS75" s="76"/>
      <c r="AT75" s="75"/>
      <c r="AU75" s="118"/>
      <c r="AV75" s="76"/>
      <c r="AW75" s="75"/>
      <c r="AX75" s="77"/>
      <c r="AY75" s="76"/>
      <c r="AZ75" s="75"/>
      <c r="BA75" s="77"/>
      <c r="BB75" s="76"/>
      <c r="BC75" s="75"/>
      <c r="BD75" s="77"/>
      <c r="BE75" s="76"/>
      <c r="BF75" s="75"/>
      <c r="BG75" s="77"/>
      <c r="BH75" s="76"/>
      <c r="BI75" s="75"/>
      <c r="BJ75" s="77"/>
      <c r="BK75" s="76"/>
      <c r="BL75" s="75"/>
      <c r="BM75" s="77"/>
      <c r="BN75" s="76"/>
      <c r="BO75" s="75"/>
      <c r="BP75" s="77"/>
      <c r="BQ75" s="76"/>
      <c r="BR75" s="75"/>
      <c r="BS75" s="77"/>
      <c r="BT75" s="76"/>
      <c r="BU75" s="75"/>
      <c r="BV75" s="77"/>
      <c r="BW75" s="76"/>
      <c r="BX75" s="75"/>
      <c r="BY75" s="77"/>
      <c r="BZ75" s="76"/>
      <c r="CA75" s="75"/>
      <c r="CB75" s="77"/>
      <c r="CC75" s="76"/>
      <c r="CD75" s="75"/>
      <c r="CE75" s="77"/>
      <c r="CF75" s="76"/>
      <c r="CG75" s="75"/>
      <c r="CH75" s="77"/>
      <c r="CI75" s="76"/>
      <c r="CJ75" s="75"/>
      <c r="CK75" s="77"/>
      <c r="CL75" s="76"/>
    </row>
    <row r="76" spans="1:90" ht="12.75">
      <c r="A76" s="74"/>
      <c r="B76" s="77"/>
      <c r="C76" s="76"/>
      <c r="D76" s="75"/>
      <c r="E76" s="77"/>
      <c r="F76" s="76"/>
      <c r="G76" s="74"/>
      <c r="H76" s="77"/>
      <c r="I76" s="76"/>
      <c r="J76" s="75"/>
      <c r="K76" s="77"/>
      <c r="L76" s="76"/>
      <c r="M76" s="75"/>
      <c r="N76" s="77"/>
      <c r="O76" s="76"/>
      <c r="P76" s="75"/>
      <c r="Q76" s="77"/>
      <c r="R76" s="76"/>
      <c r="S76" s="75"/>
      <c r="T76" s="77"/>
      <c r="U76" s="76"/>
      <c r="V76" s="75"/>
      <c r="W76" s="77"/>
      <c r="X76" s="76"/>
      <c r="Y76" s="75"/>
      <c r="Z76" s="77"/>
      <c r="AA76" s="76"/>
      <c r="AB76" s="75"/>
      <c r="AC76" s="77"/>
      <c r="AD76" s="76"/>
      <c r="AE76" s="75"/>
      <c r="AF76" s="77"/>
      <c r="AG76" s="76"/>
      <c r="AH76" s="75"/>
      <c r="AI76" s="77"/>
      <c r="AJ76" s="76"/>
      <c r="AK76" s="74"/>
      <c r="AL76" s="77"/>
      <c r="AM76" s="76"/>
      <c r="AN76" s="75"/>
      <c r="AO76" s="77"/>
      <c r="AP76" s="76"/>
      <c r="AQ76" s="75"/>
      <c r="AR76" s="77"/>
      <c r="AS76" s="76"/>
      <c r="AT76" s="75"/>
      <c r="AU76" s="118"/>
      <c r="AV76" s="76"/>
      <c r="AW76" s="75"/>
      <c r="AX76" s="77"/>
      <c r="AY76" s="76"/>
      <c r="AZ76" s="75"/>
      <c r="BA76" s="77"/>
      <c r="BB76" s="76"/>
      <c r="BC76" s="75"/>
      <c r="BD76" s="77"/>
      <c r="BE76" s="76"/>
      <c r="BF76" s="75"/>
      <c r="BG76" s="77"/>
      <c r="BH76" s="76"/>
      <c r="BI76" s="75"/>
      <c r="BJ76" s="77"/>
      <c r="BK76" s="76"/>
      <c r="BL76" s="75"/>
      <c r="BM76" s="77"/>
      <c r="BN76" s="76"/>
      <c r="BO76" s="75"/>
      <c r="BP76" s="77"/>
      <c r="BQ76" s="76"/>
      <c r="BR76" s="75"/>
      <c r="BS76" s="77"/>
      <c r="BT76" s="76"/>
      <c r="BU76" s="75"/>
      <c r="BV76" s="77"/>
      <c r="BW76" s="76"/>
      <c r="BX76" s="75"/>
      <c r="BY76" s="77"/>
      <c r="BZ76" s="76"/>
      <c r="CA76" s="75"/>
      <c r="CB76" s="77"/>
      <c r="CC76" s="76"/>
      <c r="CD76" s="75"/>
      <c r="CE76" s="77"/>
      <c r="CF76" s="76"/>
      <c r="CG76" s="75"/>
      <c r="CH76" s="77"/>
      <c r="CI76" s="76"/>
      <c r="CJ76" s="75"/>
      <c r="CK76" s="77"/>
      <c r="CL76" s="76"/>
    </row>
    <row r="77" spans="1:90" ht="12.75">
      <c r="A77" s="74"/>
      <c r="B77" s="77"/>
      <c r="C77" s="76"/>
      <c r="D77" s="75"/>
      <c r="E77" s="77"/>
      <c r="F77" s="76"/>
      <c r="G77" s="74"/>
      <c r="H77" s="77"/>
      <c r="I77" s="76"/>
      <c r="J77" s="75"/>
      <c r="K77" s="77"/>
      <c r="L77" s="76"/>
      <c r="M77" s="75"/>
      <c r="N77" s="77"/>
      <c r="O77" s="76"/>
      <c r="P77" s="75"/>
      <c r="Q77" s="77"/>
      <c r="R77" s="76"/>
      <c r="S77" s="75"/>
      <c r="T77" s="77"/>
      <c r="U77" s="76"/>
      <c r="V77" s="75"/>
      <c r="W77" s="77"/>
      <c r="X77" s="76"/>
      <c r="Y77" s="75"/>
      <c r="Z77" s="77"/>
      <c r="AA77" s="76"/>
      <c r="AB77" s="75"/>
      <c r="AC77" s="77"/>
      <c r="AD77" s="76"/>
      <c r="AE77" s="75"/>
      <c r="AF77" s="77"/>
      <c r="AG77" s="76"/>
      <c r="AH77" s="75"/>
      <c r="AI77" s="77"/>
      <c r="AJ77" s="76"/>
      <c r="AK77" s="74"/>
      <c r="AL77" s="77"/>
      <c r="AM77" s="76"/>
      <c r="AN77" s="75"/>
      <c r="AO77" s="77"/>
      <c r="AP77" s="76"/>
      <c r="AQ77" s="75"/>
      <c r="AR77" s="77"/>
      <c r="AS77" s="76"/>
      <c r="AT77" s="75"/>
      <c r="AU77" s="118"/>
      <c r="AV77" s="76"/>
      <c r="AW77" s="75"/>
      <c r="AX77" s="77"/>
      <c r="AY77" s="76"/>
      <c r="AZ77" s="75"/>
      <c r="BA77" s="77"/>
      <c r="BB77" s="76"/>
      <c r="BC77" s="75"/>
      <c r="BD77" s="77"/>
      <c r="BE77" s="76"/>
      <c r="BF77" s="75"/>
      <c r="BG77" s="77"/>
      <c r="BH77" s="76"/>
      <c r="BI77" s="75"/>
      <c r="BJ77" s="77"/>
      <c r="BK77" s="78"/>
      <c r="BL77" s="75"/>
      <c r="BM77" s="77"/>
      <c r="BN77" s="76"/>
      <c r="BO77" s="75"/>
      <c r="BP77" s="77"/>
      <c r="BQ77" s="76"/>
      <c r="BR77" s="75"/>
      <c r="BS77" s="77"/>
      <c r="BT77" s="76"/>
      <c r="BU77" s="75"/>
      <c r="BV77" s="77"/>
      <c r="BW77" s="76"/>
      <c r="BX77" s="75"/>
      <c r="BY77" s="77"/>
      <c r="BZ77" s="76"/>
      <c r="CA77" s="75"/>
      <c r="CB77" s="77"/>
      <c r="CC77" s="76"/>
      <c r="CD77" s="75"/>
      <c r="CE77" s="77"/>
      <c r="CF77" s="76"/>
      <c r="CG77" s="75"/>
      <c r="CH77" s="77"/>
      <c r="CI77" s="76"/>
      <c r="CJ77" s="75"/>
      <c r="CK77" s="77"/>
      <c r="CL77" s="76"/>
    </row>
    <row r="78" spans="1:90" ht="12.75">
      <c r="A78" s="74"/>
      <c r="B78" s="77"/>
      <c r="C78" s="76"/>
      <c r="D78" s="75"/>
      <c r="E78" s="77"/>
      <c r="F78" s="76"/>
      <c r="G78" s="74"/>
      <c r="H78" s="77"/>
      <c r="I78" s="76"/>
      <c r="J78" s="75"/>
      <c r="K78" s="77"/>
      <c r="L78" s="76"/>
      <c r="M78" s="75"/>
      <c r="N78" s="77"/>
      <c r="O78" s="76"/>
      <c r="P78" s="75"/>
      <c r="Q78" s="77"/>
      <c r="R78" s="76"/>
      <c r="S78" s="75"/>
      <c r="T78" s="77"/>
      <c r="U78" s="76"/>
      <c r="V78" s="75"/>
      <c r="W78" s="77"/>
      <c r="X78" s="76"/>
      <c r="Y78" s="75"/>
      <c r="Z78" s="77"/>
      <c r="AA78" s="76"/>
      <c r="AB78" s="75"/>
      <c r="AC78" s="77"/>
      <c r="AD78" s="76"/>
      <c r="AE78" s="75"/>
      <c r="AF78" s="77"/>
      <c r="AG78" s="76"/>
      <c r="AH78" s="75"/>
      <c r="AI78" s="77"/>
      <c r="AJ78" s="76"/>
      <c r="AK78" s="74"/>
      <c r="AL78" s="77"/>
      <c r="AM78" s="76"/>
      <c r="AN78" s="75"/>
      <c r="AO78" s="77"/>
      <c r="AP78" s="76"/>
      <c r="AQ78" s="75"/>
      <c r="AR78" s="77"/>
      <c r="AS78" s="76"/>
      <c r="AT78" s="75"/>
      <c r="AU78" s="118"/>
      <c r="AV78" s="76"/>
      <c r="AW78" s="75"/>
      <c r="AX78" s="77"/>
      <c r="AY78" s="76"/>
      <c r="AZ78" s="75"/>
      <c r="BA78" s="77"/>
      <c r="BB78" s="76"/>
      <c r="BC78" s="75"/>
      <c r="BD78" s="77"/>
      <c r="BE78" s="76"/>
      <c r="BF78" s="75"/>
      <c r="BG78" s="77"/>
      <c r="BH78" s="76"/>
      <c r="BI78" s="75"/>
      <c r="BJ78" s="77"/>
      <c r="BK78" s="78"/>
      <c r="BL78" s="75"/>
      <c r="BM78" s="77"/>
      <c r="BN78" s="76"/>
      <c r="BO78" s="75"/>
      <c r="BP78" s="77"/>
      <c r="BQ78" s="76"/>
      <c r="BR78" s="75"/>
      <c r="BS78" s="77"/>
      <c r="BT78" s="76"/>
      <c r="BU78" s="75"/>
      <c r="BV78" s="77"/>
      <c r="BW78" s="76"/>
      <c r="BX78" s="75"/>
      <c r="BY78" s="77"/>
      <c r="BZ78" s="76"/>
      <c r="CA78" s="75"/>
      <c r="CB78" s="77"/>
      <c r="CC78" s="76"/>
      <c r="CD78" s="75"/>
      <c r="CE78" s="77"/>
      <c r="CF78" s="76"/>
      <c r="CG78" s="75"/>
      <c r="CH78" s="77"/>
      <c r="CI78" s="76"/>
      <c r="CJ78" s="75"/>
      <c r="CK78" s="77"/>
      <c r="CL78" s="76"/>
    </row>
    <row r="79" spans="1:90" ht="12.75">
      <c r="A79" s="74"/>
      <c r="B79" s="77"/>
      <c r="C79" s="76"/>
      <c r="D79" s="75"/>
      <c r="E79" s="77"/>
      <c r="F79" s="76"/>
      <c r="G79" s="74"/>
      <c r="H79" s="77"/>
      <c r="I79" s="76"/>
      <c r="J79" s="75"/>
      <c r="K79" s="77"/>
      <c r="M79" s="75"/>
      <c r="N79" s="77"/>
      <c r="O79" s="76"/>
      <c r="P79" s="75"/>
      <c r="Q79" s="77"/>
      <c r="R79" s="76"/>
      <c r="S79" s="75"/>
      <c r="T79" s="77"/>
      <c r="U79" s="76"/>
      <c r="V79" s="75"/>
      <c r="W79" s="77"/>
      <c r="X79" s="76"/>
      <c r="Y79" s="75"/>
      <c r="Z79" s="77"/>
      <c r="AA79" s="76"/>
      <c r="AB79" s="75"/>
      <c r="AC79" s="77"/>
      <c r="AD79" s="76"/>
      <c r="AE79" s="78"/>
      <c r="AF79" s="78"/>
      <c r="AG79" s="78"/>
      <c r="AH79" s="75"/>
      <c r="AI79" s="77"/>
      <c r="AJ79" s="76"/>
      <c r="AK79" s="74"/>
      <c r="AL79" s="77"/>
      <c r="AM79" s="76"/>
      <c r="AN79" s="75"/>
      <c r="AO79" s="77"/>
      <c r="AP79" s="76"/>
      <c r="AQ79" s="75"/>
      <c r="AR79" s="77"/>
      <c r="AS79" s="78"/>
      <c r="AT79" s="75"/>
      <c r="AU79" s="118"/>
      <c r="AV79" s="76"/>
      <c r="AW79" s="75"/>
      <c r="AX79" s="77"/>
      <c r="AY79" s="76"/>
      <c r="AZ79" s="75"/>
      <c r="BA79" s="77"/>
      <c r="BB79" s="76"/>
      <c r="BC79" s="75"/>
      <c r="BD79" s="77"/>
      <c r="BE79" s="76"/>
      <c r="BF79" s="75"/>
      <c r="BG79" s="77"/>
      <c r="BH79" s="76"/>
      <c r="BI79" s="75"/>
      <c r="BJ79" s="77"/>
      <c r="BL79" s="75"/>
      <c r="BM79" s="77"/>
      <c r="BN79" s="76"/>
      <c r="BO79" s="75"/>
      <c r="BP79" s="77"/>
      <c r="BQ79" s="76"/>
      <c r="BR79" s="75"/>
      <c r="BS79" s="77"/>
      <c r="BT79" s="76"/>
      <c r="BU79" s="75"/>
      <c r="BV79" s="77"/>
      <c r="BW79" s="78"/>
      <c r="BX79" s="75"/>
      <c r="BY79" s="77"/>
      <c r="BZ79" s="76"/>
      <c r="CA79" s="75"/>
      <c r="CB79" s="77"/>
      <c r="CC79" s="76"/>
      <c r="CD79" s="75"/>
      <c r="CE79" s="77"/>
      <c r="CF79" s="76"/>
      <c r="CG79" s="75"/>
      <c r="CH79" s="77"/>
      <c r="CI79" s="76"/>
      <c r="CJ79" s="75"/>
      <c r="CK79" s="77"/>
      <c r="CL79" s="76"/>
    </row>
    <row r="80" spans="1:90" ht="12.75">
      <c r="A80" s="74"/>
      <c r="B80" s="77"/>
      <c r="C80" s="76"/>
      <c r="D80" s="75"/>
      <c r="E80" s="78"/>
      <c r="F80" s="76"/>
      <c r="G80" s="74"/>
      <c r="H80" s="77"/>
      <c r="I80" s="76"/>
      <c r="J80" s="75"/>
      <c r="K80" s="77"/>
      <c r="M80" s="75"/>
      <c r="N80" s="77"/>
      <c r="O80" s="76"/>
      <c r="P80" s="75"/>
      <c r="Q80" s="77"/>
      <c r="R80" s="76"/>
      <c r="S80" s="78"/>
      <c r="T80" s="77"/>
      <c r="U80" s="76"/>
      <c r="V80" s="75"/>
      <c r="W80" s="77"/>
      <c r="X80" s="76"/>
      <c r="Y80" s="75"/>
      <c r="Z80" s="77"/>
      <c r="AA80" s="76"/>
      <c r="AB80" s="75"/>
      <c r="AC80" s="77"/>
      <c r="AD80" s="76"/>
      <c r="AE80" s="78"/>
      <c r="AF80" s="78"/>
      <c r="AG80" s="78"/>
      <c r="AH80" s="75"/>
      <c r="AI80" s="77"/>
      <c r="AJ80" s="76"/>
      <c r="AK80" s="74"/>
      <c r="AL80" s="77"/>
      <c r="AM80" s="76"/>
      <c r="AN80" s="75"/>
      <c r="AO80" s="77"/>
      <c r="AP80" s="76"/>
      <c r="AQ80" s="75"/>
      <c r="AR80" s="77"/>
      <c r="AS80" s="78"/>
      <c r="AT80" s="75"/>
      <c r="AU80" s="118"/>
      <c r="AV80" s="78"/>
      <c r="AW80" s="75"/>
      <c r="AX80" s="77"/>
      <c r="AY80" s="76"/>
      <c r="AZ80" s="75"/>
      <c r="BA80" s="77"/>
      <c r="BB80" s="78"/>
      <c r="BC80" s="75"/>
      <c r="BD80" s="77"/>
      <c r="BE80" s="76"/>
      <c r="BF80" s="75"/>
      <c r="BG80" s="77"/>
      <c r="BH80" s="78"/>
      <c r="BI80" s="75"/>
      <c r="BJ80" s="77"/>
      <c r="BL80" s="75"/>
      <c r="BM80" s="77"/>
      <c r="BN80" s="78"/>
      <c r="BO80" s="75"/>
      <c r="BP80" s="77"/>
      <c r="BQ80" s="76"/>
      <c r="BR80" s="75"/>
      <c r="BS80" s="77"/>
      <c r="BT80" s="78"/>
      <c r="BU80" s="75"/>
      <c r="BV80" s="77"/>
      <c r="BW80" s="78"/>
      <c r="BX80" s="75"/>
      <c r="BY80" s="77"/>
      <c r="BZ80" s="78"/>
      <c r="CA80" s="75"/>
      <c r="CB80" s="77"/>
      <c r="CC80" s="78"/>
      <c r="CD80" s="75"/>
      <c r="CE80" s="77"/>
      <c r="CF80" s="78"/>
      <c r="CG80" s="75"/>
      <c r="CH80" s="77"/>
      <c r="CI80" s="78"/>
      <c r="CJ80" s="75"/>
      <c r="CK80" s="77"/>
      <c r="CL80" s="76"/>
    </row>
    <row r="81" spans="1:90" ht="12.75">
      <c r="A81" s="79"/>
      <c r="B81" s="77"/>
      <c r="C81" s="80"/>
      <c r="D81" s="80"/>
      <c r="E81" s="78"/>
      <c r="F81" s="80"/>
      <c r="G81" s="79"/>
      <c r="H81" s="77"/>
      <c r="I81" s="76"/>
      <c r="J81" s="75"/>
      <c r="M81" s="75"/>
      <c r="N81" s="77"/>
      <c r="O81" s="76"/>
      <c r="P81" s="75"/>
      <c r="Q81" s="77"/>
      <c r="R81" s="76"/>
      <c r="S81" s="78"/>
      <c r="T81" s="77"/>
      <c r="U81" s="76"/>
      <c r="V81" s="78"/>
      <c r="W81" s="77"/>
      <c r="X81" s="76"/>
      <c r="Y81" s="75"/>
      <c r="Z81" s="77"/>
      <c r="AA81" s="76"/>
      <c r="AB81" s="78"/>
      <c r="AC81" s="77"/>
      <c r="AD81" s="78"/>
      <c r="AH81" s="78"/>
      <c r="AI81" s="78"/>
      <c r="AJ81" s="78"/>
      <c r="AK81" s="74"/>
      <c r="AL81" s="77"/>
      <c r="AM81" s="76"/>
      <c r="AN81" s="75"/>
      <c r="AO81" s="77"/>
      <c r="AP81" s="76"/>
      <c r="AQ81" s="78"/>
      <c r="AR81" s="77"/>
      <c r="AT81" s="75"/>
      <c r="AU81" s="118"/>
      <c r="AV81" s="78"/>
      <c r="AW81" s="75"/>
      <c r="AX81" s="77"/>
      <c r="AY81" s="78"/>
      <c r="AZ81" s="75"/>
      <c r="BA81" s="77"/>
      <c r="BB81" s="78"/>
      <c r="BC81" s="75"/>
      <c r="BD81" s="77"/>
      <c r="BE81" s="78"/>
      <c r="BF81" s="75"/>
      <c r="BG81" s="77"/>
      <c r="BH81" s="78"/>
      <c r="BI81" s="75"/>
      <c r="BJ81" s="77"/>
      <c r="BL81" s="75"/>
      <c r="BM81" s="77"/>
      <c r="BN81" s="78"/>
      <c r="BO81" s="75"/>
      <c r="BP81" s="77"/>
      <c r="BQ81" s="78"/>
      <c r="BR81" s="75"/>
      <c r="BS81" s="77"/>
      <c r="BT81" s="78"/>
      <c r="BU81" s="75"/>
      <c r="BV81" s="77"/>
      <c r="BX81" s="75"/>
      <c r="BY81" s="77"/>
      <c r="BZ81" s="78"/>
      <c r="CA81" s="75"/>
      <c r="CB81" s="77"/>
      <c r="CC81" s="78"/>
      <c r="CD81" s="75"/>
      <c r="CE81" s="77"/>
      <c r="CF81" s="78"/>
      <c r="CG81" s="75"/>
      <c r="CH81" s="77"/>
      <c r="CI81" s="78"/>
      <c r="CJ81" s="75"/>
      <c r="CK81" s="77"/>
      <c r="CL81" s="78"/>
    </row>
    <row r="82" spans="1:90" ht="12.75">
      <c r="A82" s="79"/>
      <c r="B82" s="77"/>
      <c r="C82" s="80"/>
      <c r="D82" s="80"/>
      <c r="F82" s="31"/>
      <c r="G82" s="79"/>
      <c r="H82" s="77"/>
      <c r="I82" s="80"/>
      <c r="J82" s="75"/>
      <c r="M82" s="75"/>
      <c r="N82" s="77"/>
      <c r="O82" s="76"/>
      <c r="P82" s="78"/>
      <c r="Q82" s="77"/>
      <c r="R82" s="76"/>
      <c r="T82" s="77"/>
      <c r="U82" s="76"/>
      <c r="V82" s="78"/>
      <c r="W82" s="78"/>
      <c r="X82" s="78"/>
      <c r="Y82" s="75"/>
      <c r="Z82" s="77"/>
      <c r="AA82" s="76"/>
      <c r="AB82" s="78"/>
      <c r="AC82" s="78"/>
      <c r="AD82" s="78"/>
      <c r="AH82" s="78"/>
      <c r="AI82" s="78"/>
      <c r="AJ82" s="78"/>
      <c r="AK82" s="79"/>
      <c r="AL82" s="77"/>
      <c r="AM82" s="76"/>
      <c r="AN82" s="75"/>
      <c r="AO82" s="77"/>
      <c r="AP82" s="76"/>
      <c r="AQ82" s="78"/>
      <c r="AR82" s="77"/>
      <c r="AT82" s="78"/>
      <c r="AU82" s="118"/>
      <c r="AW82" s="78"/>
      <c r="AX82" s="77"/>
      <c r="AY82" s="78"/>
      <c r="AZ82" s="78"/>
      <c r="BA82" s="77"/>
      <c r="BC82" s="75"/>
      <c r="BD82" s="77"/>
      <c r="BE82" s="78"/>
      <c r="BF82" s="78"/>
      <c r="BG82" s="77"/>
      <c r="BI82" s="78"/>
      <c r="BJ82" s="77"/>
      <c r="BL82" s="78"/>
      <c r="BM82" s="77"/>
      <c r="BO82" s="78"/>
      <c r="BP82" s="77"/>
      <c r="BQ82" s="78"/>
      <c r="BR82" s="78"/>
      <c r="BS82" s="77"/>
      <c r="BU82" s="78"/>
      <c r="BV82" s="77"/>
      <c r="BX82" s="78"/>
      <c r="BY82" s="77"/>
      <c r="CA82" s="78"/>
      <c r="CB82" s="77"/>
      <c r="CD82" s="78"/>
      <c r="CE82" s="77"/>
      <c r="CG82" s="78"/>
      <c r="CH82" s="77"/>
      <c r="CJ82" s="75"/>
      <c r="CK82" s="77"/>
      <c r="CL82" s="78"/>
    </row>
    <row r="83" spans="1:90" ht="12.75">
      <c r="A83" s="30"/>
      <c r="B83" s="77"/>
      <c r="C83" s="31"/>
      <c r="D83" s="32"/>
      <c r="F83" s="31"/>
      <c r="G83" s="30"/>
      <c r="H83" s="77"/>
      <c r="I83" s="31"/>
      <c r="M83" s="75"/>
      <c r="N83" s="77"/>
      <c r="O83" s="76"/>
      <c r="P83" s="78"/>
      <c r="Q83" s="77"/>
      <c r="R83" s="76"/>
      <c r="T83" s="77"/>
      <c r="U83" s="76"/>
      <c r="W83" s="78"/>
      <c r="X83" s="78"/>
      <c r="Y83" s="78"/>
      <c r="Z83" s="77"/>
      <c r="AA83" s="78"/>
      <c r="AK83" s="79"/>
      <c r="AL83" s="77"/>
      <c r="AM83" s="76"/>
      <c r="AN83" s="75"/>
      <c r="AO83" s="77"/>
      <c r="AP83" s="76"/>
      <c r="AR83" s="78"/>
      <c r="AT83" s="78"/>
      <c r="AU83" s="118"/>
      <c r="AW83" s="78"/>
      <c r="AX83" s="77"/>
      <c r="AZ83" s="78"/>
      <c r="BA83" s="77"/>
      <c r="BC83" s="78"/>
      <c r="BD83" s="77"/>
      <c r="BF83" s="78"/>
      <c r="BG83" s="77"/>
      <c r="BI83" s="78"/>
      <c r="BJ83" s="78"/>
      <c r="BL83" s="78"/>
      <c r="BM83" s="77"/>
      <c r="BO83" s="78"/>
      <c r="BP83" s="77"/>
      <c r="BR83" s="78"/>
      <c r="BS83" s="77"/>
      <c r="BU83" s="78"/>
      <c r="BV83" s="77"/>
      <c r="BX83" s="78"/>
      <c r="BY83" s="77"/>
      <c r="CA83" s="78"/>
      <c r="CB83" s="77"/>
      <c r="CD83" s="78"/>
      <c r="CE83" s="77"/>
      <c r="CG83" s="78"/>
      <c r="CH83" s="77"/>
      <c r="CJ83" s="78"/>
      <c r="CK83" s="77"/>
    </row>
    <row r="84" spans="1:90" ht="12.75">
      <c r="A84" s="30"/>
      <c r="B84" s="78"/>
      <c r="C84" s="31"/>
      <c r="D84" s="32"/>
      <c r="F84" s="31"/>
      <c r="G84" s="30"/>
      <c r="H84" s="78"/>
      <c r="I84" s="31"/>
      <c r="M84" s="75"/>
      <c r="N84" s="77"/>
      <c r="O84" s="76"/>
      <c r="Q84" s="77"/>
      <c r="R84" s="78"/>
      <c r="T84" s="77"/>
      <c r="U84" s="78"/>
      <c r="Y84" s="78"/>
      <c r="Z84" s="77"/>
      <c r="AA84" s="78"/>
      <c r="AK84" s="30"/>
      <c r="AL84" s="77"/>
      <c r="AM84" s="80"/>
      <c r="AN84" s="78"/>
      <c r="AO84" s="78"/>
      <c r="AP84" s="78"/>
      <c r="AR84" s="78"/>
      <c r="AU84" s="118"/>
      <c r="AX84" s="77"/>
      <c r="BA84" s="77"/>
      <c r="BC84" s="78"/>
      <c r="BD84" s="77"/>
      <c r="BG84" s="77"/>
      <c r="BJ84" s="78"/>
      <c r="BM84" s="77"/>
      <c r="BP84" s="77"/>
      <c r="BS84" s="77"/>
      <c r="BV84" s="77"/>
      <c r="BY84" s="77"/>
      <c r="CB84" s="77"/>
      <c r="CE84" s="77"/>
      <c r="CH84" s="77"/>
      <c r="CJ84" s="78"/>
      <c r="CK84" s="77"/>
    </row>
    <row r="85" spans="1:90" ht="12.75">
      <c r="A85" s="30"/>
      <c r="B85" s="78"/>
      <c r="C85" s="31"/>
      <c r="D85" s="32"/>
      <c r="F85" s="31"/>
      <c r="G85" s="30"/>
      <c r="I85" s="31"/>
      <c r="M85" s="78"/>
      <c r="N85" s="77"/>
      <c r="O85" s="76"/>
      <c r="Q85" s="78"/>
      <c r="R85" s="78"/>
      <c r="T85" s="77"/>
      <c r="U85" s="78"/>
      <c r="Z85" s="78"/>
      <c r="AK85" s="30"/>
      <c r="AL85" s="78"/>
      <c r="AM85" s="80"/>
      <c r="AU85" s="118"/>
      <c r="AX85" s="77"/>
      <c r="BA85" s="77"/>
      <c r="BD85" s="77"/>
      <c r="BG85" s="77"/>
      <c r="BM85" s="77"/>
      <c r="BP85" s="77"/>
      <c r="BS85" s="77"/>
      <c r="BV85" s="78"/>
      <c r="BY85" s="77"/>
      <c r="CB85" s="77"/>
      <c r="CE85" s="77"/>
      <c r="CH85" s="77"/>
      <c r="CK85" s="77"/>
    </row>
    <row r="86" spans="1:90" ht="12.75">
      <c r="A86" s="30"/>
      <c r="C86" s="31"/>
      <c r="D86" s="32"/>
      <c r="F86" s="31"/>
      <c r="G86" s="30"/>
      <c r="I86" s="31"/>
      <c r="M86" s="78"/>
      <c r="O86" s="76"/>
      <c r="Q86" s="78"/>
      <c r="R86" s="78"/>
      <c r="T86" s="78"/>
      <c r="AK86" s="30"/>
      <c r="AL86" s="78"/>
      <c r="AM86" s="31"/>
      <c r="AU86" s="119"/>
      <c r="AX86" s="77"/>
      <c r="BA86" s="78"/>
      <c r="BD86" s="78"/>
      <c r="BG86" s="78"/>
      <c r="BM86" s="78"/>
      <c r="BP86" s="77"/>
      <c r="BS86" s="78"/>
      <c r="BV86" s="78"/>
      <c r="BY86" s="78"/>
      <c r="CB86" s="78"/>
      <c r="CE86" s="78"/>
      <c r="CH86" s="78"/>
      <c r="CK86" s="77"/>
    </row>
    <row r="87" spans="1:90" ht="12.75">
      <c r="A87" s="30"/>
      <c r="C87" s="31"/>
      <c r="D87" s="32"/>
      <c r="F87" s="31"/>
      <c r="G87" s="30"/>
      <c r="I87" s="31"/>
      <c r="Q87" s="78"/>
      <c r="AK87" s="30"/>
      <c r="AM87" s="31"/>
      <c r="AU87" s="119"/>
      <c r="AX87" s="77"/>
      <c r="BA87" s="78"/>
      <c r="BD87" s="78"/>
      <c r="BG87" s="78"/>
      <c r="BM87" s="78"/>
      <c r="BP87" s="78"/>
      <c r="BS87" s="78"/>
      <c r="BY87" s="78"/>
      <c r="CB87" s="78"/>
      <c r="CE87" s="78"/>
      <c r="CH87" s="78"/>
      <c r="CK87" s="78"/>
    </row>
    <row r="88" spans="1:90" ht="12.75">
      <c r="A88" s="30"/>
      <c r="C88" s="31"/>
      <c r="D88" s="32"/>
      <c r="F88" s="31"/>
      <c r="G88" s="30"/>
      <c r="I88" s="31"/>
      <c r="AK88" s="30"/>
      <c r="AM88" s="31"/>
      <c r="AX88" s="78"/>
      <c r="BP88" s="78"/>
      <c r="CK88" s="78"/>
    </row>
    <row r="89" spans="1:90" ht="12.75">
      <c r="A89" s="30"/>
      <c r="C89" s="31"/>
      <c r="D89" s="32"/>
      <c r="F89" s="31"/>
      <c r="G89" s="30"/>
      <c r="I89" s="31"/>
      <c r="AK89" s="30"/>
      <c r="AM89" s="31"/>
      <c r="AX89" s="78"/>
    </row>
    <row r="90" spans="1:90" ht="12.75">
      <c r="A90" s="30"/>
      <c r="C90" s="31"/>
      <c r="D90" s="32"/>
      <c r="F90" s="31"/>
      <c r="G90" s="30"/>
      <c r="I90" s="31"/>
      <c r="AK90" s="30"/>
      <c r="AM90" s="31"/>
    </row>
    <row r="91" spans="1:90" ht="12.75">
      <c r="A91" s="30"/>
      <c r="C91" s="31"/>
      <c r="D91" s="32"/>
      <c r="F91" s="31"/>
      <c r="G91" s="30"/>
      <c r="I91" s="31"/>
      <c r="AK91" s="30"/>
      <c r="AM91" s="31"/>
    </row>
    <row r="92" spans="1:90" ht="12.75">
      <c r="A92" s="30"/>
      <c r="C92" s="31"/>
      <c r="D92" s="32"/>
      <c r="F92" s="31"/>
      <c r="G92" s="30"/>
      <c r="I92" s="31"/>
      <c r="AK92" s="30"/>
      <c r="AM92" s="31"/>
    </row>
    <row r="93" spans="1:90" ht="12.75">
      <c r="A93" s="30"/>
      <c r="C93" s="31"/>
      <c r="D93" s="32"/>
      <c r="F93" s="31"/>
      <c r="G93" s="30"/>
      <c r="I93" s="31"/>
      <c r="AK93" s="30"/>
      <c r="AM93" s="31"/>
    </row>
    <row r="94" spans="1:90" ht="12.75">
      <c r="A94" s="30"/>
      <c r="C94" s="31"/>
      <c r="D94" s="32"/>
      <c r="F94" s="31"/>
      <c r="G94" s="30"/>
      <c r="I94" s="31"/>
      <c r="AK94" s="30"/>
      <c r="AM94" s="31"/>
    </row>
    <row r="95" spans="1:90" ht="12.75">
      <c r="A95" s="30"/>
      <c r="C95" s="31"/>
      <c r="D95" s="32"/>
      <c r="F95" s="31"/>
      <c r="G95" s="30"/>
      <c r="I95" s="31"/>
      <c r="AK95" s="30"/>
      <c r="AM95" s="31"/>
    </row>
    <row r="96" spans="1:90" ht="12.75">
      <c r="A96" s="30"/>
      <c r="C96" s="31"/>
      <c r="D96" s="32"/>
      <c r="F96" s="31"/>
      <c r="G96" s="30"/>
      <c r="I96" s="31"/>
      <c r="AK96" s="30"/>
      <c r="AM96" s="31"/>
    </row>
    <row r="97" spans="1:39" ht="12.75">
      <c r="A97" s="30"/>
      <c r="C97" s="31"/>
      <c r="D97" s="32"/>
      <c r="F97" s="31"/>
      <c r="G97" s="30"/>
      <c r="I97" s="31"/>
      <c r="AK97" s="30"/>
      <c r="AM97" s="31"/>
    </row>
    <row r="98" spans="1:39" ht="12.75">
      <c r="A98" s="30"/>
      <c r="C98" s="31"/>
      <c r="D98" s="32"/>
      <c r="F98" s="31"/>
      <c r="G98" s="30"/>
      <c r="I98" s="31"/>
      <c r="AK98" s="30"/>
      <c r="AM98" s="31"/>
    </row>
    <row r="99" spans="1:39" ht="12.75">
      <c r="A99" s="30"/>
      <c r="C99" s="31"/>
      <c r="D99" s="32"/>
      <c r="F99" s="31"/>
      <c r="G99" s="30"/>
      <c r="I99" s="31"/>
      <c r="AK99" s="30"/>
      <c r="AM99" s="31"/>
    </row>
    <row r="100" spans="1:39" ht="12.75">
      <c r="A100" s="30"/>
      <c r="C100" s="31"/>
      <c r="D100" s="32"/>
      <c r="F100" s="31"/>
      <c r="G100" s="30"/>
      <c r="I100" s="31"/>
      <c r="AK100" s="30"/>
      <c r="AM100" s="31"/>
    </row>
    <row r="101" spans="1:39" ht="12.75">
      <c r="A101" s="30"/>
      <c r="C101" s="31"/>
      <c r="D101" s="32"/>
      <c r="F101" s="31"/>
      <c r="G101" s="30"/>
      <c r="I101" s="31"/>
      <c r="AK101" s="30"/>
      <c r="AM101" s="31"/>
    </row>
    <row r="102" spans="1:39" ht="12.75">
      <c r="A102" s="30"/>
      <c r="C102" s="31"/>
      <c r="D102" s="32"/>
      <c r="F102" s="31"/>
      <c r="G102" s="30"/>
      <c r="I102" s="31"/>
      <c r="AK102" s="30"/>
      <c r="AM102" s="31"/>
    </row>
    <row r="103" spans="1:39" ht="12.75">
      <c r="A103" s="30"/>
      <c r="C103" s="31"/>
      <c r="D103" s="32"/>
      <c r="F103" s="31"/>
      <c r="G103" s="30"/>
      <c r="I103" s="31"/>
      <c r="AK103" s="30"/>
      <c r="AM103" s="31"/>
    </row>
    <row r="104" spans="1:39" ht="12.75">
      <c r="A104" s="30"/>
      <c r="C104" s="31"/>
      <c r="D104" s="32"/>
      <c r="F104" s="31"/>
      <c r="G104" s="30"/>
      <c r="I104" s="31"/>
      <c r="AK104" s="30"/>
      <c r="AM104" s="31"/>
    </row>
    <row r="105" spans="1:39" ht="12.75">
      <c r="A105" s="30"/>
      <c r="C105" s="31"/>
      <c r="D105" s="32"/>
      <c r="F105" s="31"/>
      <c r="G105" s="30"/>
      <c r="I105" s="31"/>
      <c r="AK105" s="30"/>
      <c r="AM105" s="31"/>
    </row>
    <row r="106" spans="1:39" ht="12.75">
      <c r="A106" s="30"/>
      <c r="C106" s="31"/>
      <c r="D106" s="32"/>
      <c r="F106" s="31"/>
      <c r="G106" s="30"/>
      <c r="I106" s="31"/>
      <c r="AK106" s="30"/>
      <c r="AM106" s="31"/>
    </row>
    <row r="107" spans="1:39" ht="12.75">
      <c r="A107" s="30"/>
      <c r="C107" s="31"/>
      <c r="D107" s="32"/>
      <c r="F107" s="31"/>
      <c r="G107" s="30"/>
      <c r="I107" s="31"/>
      <c r="AK107" s="30"/>
      <c r="AM107" s="31"/>
    </row>
    <row r="108" spans="1:39" ht="12.75">
      <c r="A108" s="30"/>
      <c r="C108" s="31"/>
      <c r="D108" s="32"/>
      <c r="F108" s="31"/>
      <c r="G108" s="30"/>
      <c r="I108" s="31"/>
      <c r="AK108" s="30"/>
      <c r="AM108" s="31"/>
    </row>
    <row r="109" spans="1:39" ht="12.75">
      <c r="A109" s="30"/>
      <c r="C109" s="31"/>
      <c r="D109" s="32"/>
      <c r="F109" s="31"/>
      <c r="G109" s="30"/>
      <c r="I109" s="31"/>
      <c r="AK109" s="30"/>
      <c r="AM109" s="31"/>
    </row>
    <row r="110" spans="1:39" ht="12.75">
      <c r="A110" s="30"/>
      <c r="C110" s="31"/>
      <c r="D110" s="32"/>
      <c r="F110" s="31"/>
      <c r="G110" s="30"/>
      <c r="I110" s="31"/>
      <c r="AK110" s="30"/>
      <c r="AM110" s="31"/>
    </row>
    <row r="111" spans="1:39" ht="12.75">
      <c r="A111" s="30"/>
      <c r="C111" s="31"/>
      <c r="D111" s="32"/>
      <c r="F111" s="31"/>
      <c r="G111" s="30"/>
      <c r="I111" s="31"/>
      <c r="AK111" s="30"/>
      <c r="AM111" s="31"/>
    </row>
    <row r="112" spans="1:39" ht="12.75">
      <c r="A112" s="30"/>
      <c r="C112" s="31"/>
      <c r="D112" s="32"/>
      <c r="F112" s="31"/>
      <c r="G112" s="30"/>
      <c r="I112" s="31"/>
      <c r="AK112" s="30"/>
      <c r="AM112" s="31"/>
    </row>
    <row r="113" spans="1:39" ht="12.75">
      <c r="A113" s="30"/>
      <c r="C113" s="31"/>
      <c r="D113" s="32"/>
      <c r="F113" s="31"/>
      <c r="G113" s="30"/>
      <c r="I113" s="31"/>
      <c r="AK113" s="30"/>
      <c r="AM113" s="31"/>
    </row>
    <row r="114" spans="1:39" ht="12.75">
      <c r="A114" s="30"/>
      <c r="C114" s="31"/>
      <c r="D114" s="32"/>
      <c r="F114" s="31"/>
      <c r="G114" s="30"/>
      <c r="I114" s="31"/>
      <c r="AK114" s="30"/>
      <c r="AM114" s="31"/>
    </row>
    <row r="115" spans="1:39" ht="12.75">
      <c r="A115" s="30"/>
      <c r="C115" s="31"/>
      <c r="D115" s="32"/>
      <c r="F115" s="31"/>
      <c r="G115" s="30"/>
      <c r="I115" s="31"/>
      <c r="AK115" s="30"/>
      <c r="AM115" s="31"/>
    </row>
    <row r="116" spans="1:39" ht="12.75">
      <c r="A116" s="30"/>
      <c r="C116" s="31"/>
      <c r="D116" s="32"/>
      <c r="F116" s="31"/>
      <c r="G116" s="30"/>
      <c r="I116" s="31"/>
      <c r="AK116" s="30"/>
      <c r="AM116" s="31"/>
    </row>
    <row r="117" spans="1:39" ht="12.75">
      <c r="A117" s="30"/>
      <c r="C117" s="31"/>
      <c r="D117" s="32"/>
      <c r="F117" s="31"/>
      <c r="G117" s="30"/>
      <c r="I117" s="31"/>
      <c r="AK117" s="30"/>
      <c r="AM117" s="31"/>
    </row>
    <row r="118" spans="1:39" ht="12.75">
      <c r="A118" s="30"/>
      <c r="C118" s="31"/>
      <c r="D118" s="32"/>
      <c r="F118" s="31"/>
      <c r="G118" s="30"/>
      <c r="I118" s="31"/>
      <c r="AK118" s="30"/>
      <c r="AM118" s="31"/>
    </row>
    <row r="119" spans="1:39" ht="12.75">
      <c r="A119" s="30"/>
      <c r="C119" s="31"/>
      <c r="D119" s="32"/>
      <c r="F119" s="31"/>
      <c r="G119" s="30"/>
      <c r="I119" s="31"/>
      <c r="AK119" s="30"/>
      <c r="AM119" s="31"/>
    </row>
    <row r="120" spans="1:39" ht="12.75">
      <c r="A120" s="30"/>
      <c r="C120" s="31"/>
      <c r="D120" s="32"/>
      <c r="F120" s="31"/>
      <c r="G120" s="30"/>
      <c r="I120" s="31"/>
      <c r="AK120" s="30"/>
      <c r="AM120" s="31"/>
    </row>
    <row r="121" spans="1:39" ht="12.75">
      <c r="A121" s="30"/>
      <c r="C121" s="31"/>
      <c r="D121" s="32"/>
      <c r="F121" s="31"/>
      <c r="G121" s="30"/>
      <c r="I121" s="31"/>
      <c r="AK121" s="30"/>
      <c r="AM121" s="31"/>
    </row>
    <row r="122" spans="1:39" ht="12.75">
      <c r="A122" s="30"/>
      <c r="C122" s="31"/>
      <c r="D122" s="32"/>
      <c r="F122" s="31"/>
      <c r="G122" s="30"/>
      <c r="I122" s="31"/>
      <c r="AK122" s="30"/>
      <c r="AM122" s="31"/>
    </row>
    <row r="123" spans="1:39" ht="12.75">
      <c r="A123" s="30"/>
      <c r="C123" s="31"/>
      <c r="D123" s="32"/>
      <c r="F123" s="31"/>
      <c r="G123" s="30"/>
      <c r="I123" s="31"/>
      <c r="AK123" s="30"/>
      <c r="AM123" s="31"/>
    </row>
    <row r="124" spans="1:39" ht="12.75">
      <c r="A124" s="30"/>
      <c r="C124" s="31"/>
      <c r="D124" s="32"/>
      <c r="F124" s="31"/>
      <c r="G124" s="30"/>
      <c r="I124" s="31"/>
      <c r="AK124" s="30"/>
      <c r="AM124" s="31"/>
    </row>
    <row r="125" spans="1:39" ht="12.75">
      <c r="A125" s="30"/>
      <c r="C125" s="31"/>
      <c r="D125" s="32"/>
      <c r="F125" s="31"/>
      <c r="G125" s="30"/>
      <c r="I125" s="31"/>
      <c r="AK125" s="30"/>
      <c r="AM125" s="31"/>
    </row>
    <row r="126" spans="1:39" ht="12.75">
      <c r="A126" s="30"/>
      <c r="C126" s="31"/>
      <c r="D126" s="32"/>
      <c r="F126" s="31"/>
      <c r="G126" s="30"/>
      <c r="I126" s="31"/>
      <c r="AK126" s="30"/>
      <c r="AM126" s="31"/>
    </row>
    <row r="127" spans="1:39" ht="12.75">
      <c r="A127" s="30"/>
      <c r="C127" s="31"/>
      <c r="D127" s="32"/>
      <c r="F127" s="31"/>
      <c r="G127" s="30"/>
      <c r="I127" s="31"/>
      <c r="AK127" s="30"/>
      <c r="AM127" s="31"/>
    </row>
    <row r="128" spans="1:39" ht="12.75">
      <c r="A128" s="30"/>
      <c r="C128" s="31"/>
      <c r="D128" s="32"/>
      <c r="F128" s="31"/>
      <c r="G128" s="30"/>
      <c r="I128" s="31"/>
      <c r="AK128" s="30"/>
      <c r="AM128" s="31"/>
    </row>
    <row r="129" spans="1:39" ht="12.75">
      <c r="A129" s="30"/>
      <c r="C129" s="31"/>
      <c r="D129" s="32"/>
      <c r="F129" s="31"/>
      <c r="G129" s="30"/>
      <c r="I129" s="31"/>
      <c r="AK129" s="30"/>
      <c r="AM129" s="31"/>
    </row>
    <row r="130" spans="1:39" ht="12.75">
      <c r="A130" s="30"/>
      <c r="C130" s="31"/>
      <c r="D130" s="32"/>
      <c r="F130" s="31"/>
      <c r="G130" s="30"/>
      <c r="I130" s="31"/>
      <c r="AK130" s="30"/>
      <c r="AM130" s="31"/>
    </row>
    <row r="131" spans="1:39" ht="12.75">
      <c r="A131" s="30"/>
      <c r="C131" s="31"/>
      <c r="D131" s="32"/>
      <c r="F131" s="31"/>
      <c r="G131" s="30"/>
      <c r="I131" s="31"/>
      <c r="AK131" s="30"/>
      <c r="AM131" s="31"/>
    </row>
    <row r="132" spans="1:39" ht="12.75">
      <c r="A132" s="30"/>
      <c r="C132" s="31"/>
      <c r="D132" s="32"/>
      <c r="F132" s="31"/>
      <c r="G132" s="30"/>
      <c r="I132" s="31"/>
      <c r="AK132" s="30"/>
      <c r="AM132" s="31"/>
    </row>
    <row r="133" spans="1:39" ht="12.75">
      <c r="A133" s="30"/>
      <c r="C133" s="31"/>
      <c r="D133" s="32"/>
      <c r="F133" s="31"/>
      <c r="G133" s="30"/>
      <c r="I133" s="31"/>
      <c r="AK133" s="30"/>
      <c r="AM133" s="31"/>
    </row>
    <row r="134" spans="1:39" ht="12.75">
      <c r="A134" s="30"/>
      <c r="C134" s="31"/>
      <c r="D134" s="32"/>
      <c r="F134" s="31"/>
      <c r="G134" s="30"/>
      <c r="I134" s="31"/>
      <c r="AK134" s="30"/>
      <c r="AM134" s="31"/>
    </row>
    <row r="135" spans="1:39" ht="12.75">
      <c r="A135" s="30"/>
      <c r="C135" s="31"/>
      <c r="D135" s="32"/>
      <c r="F135" s="31"/>
      <c r="G135" s="30"/>
      <c r="I135" s="31"/>
      <c r="AK135" s="30"/>
      <c r="AM135" s="31"/>
    </row>
    <row r="136" spans="1:39" ht="12.75">
      <c r="A136" s="30"/>
      <c r="C136" s="31"/>
      <c r="D136" s="32"/>
      <c r="F136" s="31"/>
      <c r="G136" s="30"/>
      <c r="I136" s="31"/>
      <c r="AK136" s="30"/>
      <c r="AM136" s="31"/>
    </row>
    <row r="137" spans="1:39" ht="12.75">
      <c r="A137" s="30"/>
      <c r="C137" s="31"/>
      <c r="D137" s="32"/>
      <c r="F137" s="31"/>
      <c r="G137" s="30"/>
      <c r="I137" s="31"/>
      <c r="AK137" s="30"/>
      <c r="AM137" s="31"/>
    </row>
    <row r="138" spans="1:39" ht="12.75">
      <c r="A138" s="30"/>
      <c r="C138" s="31"/>
      <c r="D138" s="32"/>
      <c r="F138" s="31"/>
      <c r="G138" s="30"/>
      <c r="I138" s="31"/>
      <c r="AK138" s="30"/>
      <c r="AM138" s="31"/>
    </row>
    <row r="139" spans="1:39" ht="12.75">
      <c r="A139" s="30"/>
      <c r="C139" s="31"/>
      <c r="D139" s="32"/>
      <c r="F139" s="31"/>
      <c r="G139" s="30"/>
      <c r="I139" s="31"/>
      <c r="AK139" s="30"/>
      <c r="AM139" s="31"/>
    </row>
    <row r="140" spans="1:39" ht="12.75">
      <c r="A140" s="30"/>
      <c r="C140" s="31"/>
      <c r="D140" s="32"/>
      <c r="F140" s="31"/>
      <c r="G140" s="30"/>
      <c r="I140" s="31"/>
      <c r="AK140" s="30"/>
      <c r="AM140" s="31"/>
    </row>
    <row r="141" spans="1:39" ht="12.75">
      <c r="A141" s="30"/>
      <c r="C141" s="31"/>
      <c r="D141" s="32"/>
      <c r="F141" s="31"/>
      <c r="G141" s="30"/>
      <c r="I141" s="31"/>
      <c r="AK141" s="30"/>
      <c r="AM141" s="31"/>
    </row>
    <row r="142" spans="1:39" ht="12.75">
      <c r="A142" s="30"/>
      <c r="C142" s="31"/>
      <c r="D142" s="32"/>
      <c r="F142" s="31"/>
      <c r="G142" s="30"/>
      <c r="I142" s="31"/>
      <c r="AK142" s="30"/>
      <c r="AM142" s="31"/>
    </row>
    <row r="143" spans="1:39" ht="12.75">
      <c r="A143" s="30"/>
      <c r="C143" s="31"/>
      <c r="D143" s="32"/>
      <c r="F143" s="31"/>
      <c r="G143" s="30"/>
      <c r="I143" s="31"/>
      <c r="AK143" s="30"/>
      <c r="AM143" s="31"/>
    </row>
    <row r="144" spans="1:39" ht="12.75">
      <c r="A144" s="30"/>
      <c r="C144" s="31"/>
      <c r="D144" s="32"/>
      <c r="F144" s="31"/>
      <c r="G144" s="30"/>
      <c r="I144" s="31"/>
      <c r="AK144" s="30"/>
      <c r="AM144" s="31"/>
    </row>
    <row r="145" spans="1:39" ht="12.75">
      <c r="A145" s="30"/>
      <c r="C145" s="31"/>
      <c r="D145" s="32"/>
      <c r="F145" s="31"/>
      <c r="G145" s="30"/>
      <c r="I145" s="31"/>
      <c r="AK145" s="30"/>
      <c r="AM145" s="31"/>
    </row>
    <row r="146" spans="1:39" ht="12.75">
      <c r="A146" s="30"/>
      <c r="C146" s="31"/>
      <c r="D146" s="32"/>
      <c r="F146" s="31"/>
      <c r="G146" s="30"/>
      <c r="I146" s="31"/>
      <c r="AK146" s="30"/>
      <c r="AM146" s="31"/>
    </row>
    <row r="147" spans="1:39" ht="12.75">
      <c r="A147" s="30"/>
      <c r="C147" s="31"/>
      <c r="D147" s="32"/>
      <c r="F147" s="31"/>
      <c r="G147" s="30"/>
      <c r="I147" s="31"/>
      <c r="AK147" s="30"/>
      <c r="AM147" s="31"/>
    </row>
    <row r="148" spans="1:39" ht="12.75">
      <c r="A148" s="30"/>
      <c r="C148" s="31"/>
      <c r="D148" s="32"/>
      <c r="F148" s="31"/>
      <c r="G148" s="30"/>
      <c r="I148" s="31"/>
      <c r="AK148" s="30"/>
      <c r="AM148" s="31"/>
    </row>
    <row r="149" spans="1:39" ht="12.75">
      <c r="A149" s="30"/>
      <c r="C149" s="31"/>
      <c r="D149" s="32"/>
      <c r="F149" s="31"/>
      <c r="G149" s="30"/>
      <c r="I149" s="31"/>
      <c r="AK149" s="30"/>
      <c r="AM149" s="31"/>
    </row>
    <row r="150" spans="1:39" ht="12.75">
      <c r="A150" s="30"/>
      <c r="C150" s="31"/>
      <c r="D150" s="32"/>
      <c r="F150" s="31"/>
      <c r="G150" s="30"/>
      <c r="I150" s="31"/>
      <c r="AK150" s="30"/>
      <c r="AM150" s="31"/>
    </row>
    <row r="151" spans="1:39" ht="12.75">
      <c r="A151" s="30"/>
      <c r="C151" s="31"/>
      <c r="D151" s="32"/>
      <c r="F151" s="31"/>
      <c r="G151" s="30"/>
      <c r="I151" s="31"/>
      <c r="AK151" s="30"/>
      <c r="AM151" s="31"/>
    </row>
    <row r="152" spans="1:39" ht="12.75">
      <c r="A152" s="30"/>
      <c r="C152" s="31"/>
      <c r="D152" s="32"/>
      <c r="F152" s="31"/>
      <c r="G152" s="30"/>
      <c r="I152" s="31"/>
      <c r="AK152" s="30"/>
      <c r="AM152" s="31"/>
    </row>
    <row r="153" spans="1:39" ht="12.75">
      <c r="A153" s="30"/>
      <c r="C153" s="31"/>
      <c r="D153" s="32"/>
      <c r="F153" s="31"/>
      <c r="G153" s="30"/>
      <c r="I153" s="31"/>
      <c r="AK153" s="30"/>
      <c r="AM153" s="31"/>
    </row>
    <row r="154" spans="1:39" ht="12.75">
      <c r="A154" s="30"/>
      <c r="C154" s="31"/>
      <c r="D154" s="32"/>
      <c r="F154" s="31"/>
      <c r="G154" s="30"/>
      <c r="I154" s="31"/>
      <c r="AK154" s="30"/>
      <c r="AM154" s="31"/>
    </row>
    <row r="155" spans="1:39" ht="12.75">
      <c r="A155" s="30"/>
      <c r="C155" s="31"/>
      <c r="D155" s="32"/>
      <c r="F155" s="31"/>
      <c r="G155" s="30"/>
      <c r="I155" s="31"/>
      <c r="AK155" s="30"/>
      <c r="AM155" s="31"/>
    </row>
    <row r="156" spans="1:39" ht="12.75">
      <c r="A156" s="30"/>
      <c r="C156" s="31"/>
      <c r="D156" s="32"/>
      <c r="F156" s="31"/>
      <c r="G156" s="30"/>
      <c r="I156" s="31"/>
      <c r="AK156" s="30"/>
      <c r="AM156" s="31"/>
    </row>
    <row r="157" spans="1:39" ht="12.75">
      <c r="A157" s="30"/>
      <c r="C157" s="31"/>
      <c r="D157" s="32"/>
      <c r="F157" s="31"/>
      <c r="G157" s="30"/>
      <c r="I157" s="31"/>
      <c r="AK157" s="30"/>
      <c r="AM157" s="31"/>
    </row>
    <row r="158" spans="1:39" ht="12.75">
      <c r="A158" s="30"/>
      <c r="C158" s="31"/>
      <c r="D158" s="32"/>
      <c r="F158" s="31"/>
      <c r="G158" s="30"/>
      <c r="I158" s="31"/>
      <c r="AK158" s="30"/>
      <c r="AM158" s="31"/>
    </row>
    <row r="159" spans="1:39" ht="12.75">
      <c r="A159" s="30"/>
      <c r="C159" s="31"/>
      <c r="D159" s="32"/>
      <c r="F159" s="31"/>
      <c r="G159" s="30"/>
      <c r="I159" s="31"/>
      <c r="AK159" s="30"/>
      <c r="AM159" s="31"/>
    </row>
    <row r="160" spans="1:39" ht="12.75">
      <c r="A160" s="30"/>
      <c r="C160" s="31"/>
      <c r="D160" s="32"/>
      <c r="F160" s="31"/>
      <c r="G160" s="30"/>
      <c r="I160" s="31"/>
      <c r="AK160" s="30"/>
      <c r="AM160" s="31"/>
    </row>
    <row r="161" spans="1:39" ht="12.75">
      <c r="A161" s="30"/>
      <c r="C161" s="31"/>
      <c r="D161" s="32"/>
      <c r="F161" s="31"/>
      <c r="G161" s="30"/>
      <c r="I161" s="31"/>
      <c r="AK161" s="30"/>
      <c r="AM161" s="31"/>
    </row>
    <row r="162" spans="1:39" ht="12.75">
      <c r="A162" s="30"/>
      <c r="C162" s="31"/>
      <c r="D162" s="32"/>
      <c r="F162" s="31"/>
      <c r="G162" s="30"/>
      <c r="I162" s="31"/>
      <c r="AK162" s="30"/>
      <c r="AM162" s="31"/>
    </row>
    <row r="163" spans="1:39" ht="12.75">
      <c r="A163" s="30"/>
      <c r="C163" s="31"/>
      <c r="D163" s="32"/>
      <c r="F163" s="31"/>
      <c r="G163" s="30"/>
      <c r="I163" s="31"/>
      <c r="AK163" s="30"/>
      <c r="AM163" s="31"/>
    </row>
    <row r="164" spans="1:39" ht="12.75">
      <c r="A164" s="30"/>
      <c r="C164" s="31"/>
      <c r="D164" s="32"/>
      <c r="F164" s="31"/>
      <c r="G164" s="30"/>
      <c r="I164" s="31"/>
      <c r="AK164" s="30"/>
      <c r="AM164" s="31"/>
    </row>
    <row r="165" spans="1:39" ht="12.75">
      <c r="A165" s="30"/>
      <c r="C165" s="31"/>
      <c r="D165" s="32"/>
      <c r="F165" s="31"/>
      <c r="G165" s="30"/>
      <c r="I165" s="31"/>
      <c r="AK165" s="30"/>
      <c r="AM165" s="31"/>
    </row>
    <row r="166" spans="1:39" ht="12.75">
      <c r="A166" s="30"/>
      <c r="C166" s="31"/>
      <c r="D166" s="32"/>
      <c r="F166" s="31"/>
      <c r="G166" s="30"/>
      <c r="I166" s="31"/>
      <c r="AK166" s="30"/>
      <c r="AM166" s="31"/>
    </row>
    <row r="167" spans="1:39" ht="12.75">
      <c r="A167" s="30"/>
      <c r="C167" s="31"/>
      <c r="D167" s="32"/>
      <c r="F167" s="31"/>
      <c r="G167" s="30"/>
      <c r="I167" s="31"/>
      <c r="AK167" s="30"/>
      <c r="AM167" s="31"/>
    </row>
    <row r="168" spans="1:39" ht="12.75">
      <c r="A168" s="30"/>
      <c r="C168" s="31"/>
      <c r="D168" s="32"/>
      <c r="F168" s="31"/>
      <c r="G168" s="30"/>
      <c r="I168" s="31"/>
      <c r="AK168" s="30"/>
      <c r="AM168" s="31"/>
    </row>
    <row r="169" spans="1:39" ht="12.75">
      <c r="A169" s="30"/>
      <c r="C169" s="31"/>
      <c r="D169" s="32"/>
      <c r="F169" s="31"/>
      <c r="G169" s="30"/>
      <c r="I169" s="31"/>
      <c r="AK169" s="30"/>
      <c r="AM169" s="31"/>
    </row>
    <row r="170" spans="1:39" ht="12.75">
      <c r="A170" s="30"/>
      <c r="C170" s="31"/>
      <c r="D170" s="32"/>
      <c r="F170" s="31"/>
      <c r="G170" s="30"/>
      <c r="I170" s="31"/>
      <c r="AK170" s="30"/>
      <c r="AM170" s="31"/>
    </row>
    <row r="171" spans="1:39" ht="12.75">
      <c r="A171" s="30"/>
      <c r="C171" s="31"/>
      <c r="D171" s="32"/>
      <c r="F171" s="31"/>
      <c r="G171" s="30"/>
      <c r="I171" s="31"/>
      <c r="AK171" s="30"/>
      <c r="AM171" s="31"/>
    </row>
    <row r="172" spans="1:39" ht="12.75">
      <c r="A172" s="30"/>
      <c r="C172" s="31"/>
      <c r="D172" s="32"/>
      <c r="F172" s="31"/>
      <c r="G172" s="30"/>
      <c r="I172" s="31"/>
      <c r="AK172" s="30"/>
      <c r="AM172" s="31"/>
    </row>
    <row r="173" spans="1:39" ht="12.75">
      <c r="A173" s="30"/>
      <c r="C173" s="31"/>
      <c r="D173" s="32"/>
      <c r="F173" s="31"/>
      <c r="G173" s="30"/>
      <c r="I173" s="31"/>
      <c r="AK173" s="30"/>
      <c r="AM173" s="31"/>
    </row>
    <row r="174" spans="1:39" ht="12.75">
      <c r="A174" s="30"/>
      <c r="C174" s="31"/>
      <c r="D174" s="32"/>
      <c r="F174" s="31"/>
      <c r="G174" s="30"/>
      <c r="I174" s="31"/>
      <c r="AK174" s="30"/>
      <c r="AM174" s="31"/>
    </row>
    <row r="175" spans="1:39" ht="12.75">
      <c r="A175" s="30"/>
      <c r="C175" s="31"/>
      <c r="D175" s="32"/>
      <c r="F175" s="31"/>
      <c r="G175" s="30"/>
      <c r="I175" s="31"/>
      <c r="AK175" s="30"/>
      <c r="AM175" s="31"/>
    </row>
    <row r="176" spans="1:39" ht="12.75">
      <c r="A176" s="30"/>
      <c r="C176" s="31"/>
      <c r="D176" s="32"/>
      <c r="F176" s="31"/>
      <c r="G176" s="30"/>
      <c r="I176" s="31"/>
      <c r="AK176" s="30"/>
      <c r="AM176" s="31"/>
    </row>
    <row r="177" spans="1:39" ht="12.75">
      <c r="A177" s="30"/>
      <c r="C177" s="31"/>
      <c r="D177" s="32"/>
      <c r="F177" s="31"/>
      <c r="G177" s="30"/>
      <c r="I177" s="31"/>
      <c r="AK177" s="30"/>
      <c r="AM177" s="31"/>
    </row>
    <row r="178" spans="1:39" ht="12.75">
      <c r="A178" s="30"/>
      <c r="C178" s="31"/>
      <c r="D178" s="32"/>
      <c r="F178" s="31"/>
      <c r="G178" s="30"/>
      <c r="I178" s="31"/>
      <c r="AK178" s="30"/>
      <c r="AM178" s="31"/>
    </row>
    <row r="179" spans="1:39" ht="12.75">
      <c r="A179" s="30"/>
      <c r="C179" s="31"/>
      <c r="D179" s="32"/>
      <c r="F179" s="31"/>
      <c r="G179" s="30"/>
      <c r="I179" s="31"/>
      <c r="AK179" s="30"/>
      <c r="AM179" s="31"/>
    </row>
    <row r="180" spans="1:39" ht="12.75">
      <c r="A180" s="30"/>
      <c r="C180" s="31"/>
      <c r="D180" s="32"/>
      <c r="F180" s="31"/>
      <c r="G180" s="30"/>
      <c r="I180" s="31"/>
      <c r="AK180" s="30"/>
      <c r="AM180" s="31"/>
    </row>
    <row r="181" spans="1:39" ht="12.75">
      <c r="A181" s="30"/>
      <c r="C181" s="31"/>
      <c r="D181" s="32"/>
      <c r="F181" s="31"/>
      <c r="G181" s="30"/>
      <c r="I181" s="31"/>
      <c r="AK181" s="30"/>
      <c r="AM181" s="31"/>
    </row>
    <row r="182" spans="1:39" ht="12.75">
      <c r="A182" s="30"/>
      <c r="C182" s="31"/>
      <c r="D182" s="32"/>
      <c r="F182" s="31"/>
      <c r="G182" s="30"/>
      <c r="I182" s="31"/>
      <c r="AK182" s="30"/>
      <c r="AM182" s="31"/>
    </row>
    <row r="183" spans="1:39" ht="12.75">
      <c r="A183" s="30"/>
      <c r="C183" s="31"/>
      <c r="D183" s="32"/>
      <c r="F183" s="31"/>
      <c r="G183" s="30"/>
      <c r="I183" s="31"/>
      <c r="AK183" s="30"/>
      <c r="AM183" s="31"/>
    </row>
    <row r="184" spans="1:39" ht="12.75">
      <c r="A184" s="30"/>
      <c r="C184" s="31"/>
      <c r="D184" s="32"/>
      <c r="F184" s="31"/>
      <c r="G184" s="30"/>
      <c r="I184" s="31"/>
      <c r="AK184" s="30"/>
      <c r="AM184" s="31"/>
    </row>
    <row r="185" spans="1:39" ht="12.75">
      <c r="A185" s="30"/>
      <c r="C185" s="31"/>
      <c r="D185" s="32"/>
      <c r="F185" s="31"/>
      <c r="G185" s="30"/>
      <c r="I185" s="31"/>
      <c r="AK185" s="30"/>
      <c r="AM185" s="31"/>
    </row>
    <row r="186" spans="1:39" ht="12.75">
      <c r="A186" s="30"/>
      <c r="C186" s="31"/>
      <c r="D186" s="32"/>
      <c r="F186" s="31"/>
      <c r="G186" s="30"/>
      <c r="I186" s="31"/>
      <c r="AK186" s="30"/>
      <c r="AM186" s="31"/>
    </row>
    <row r="187" spans="1:39" ht="12.75">
      <c r="A187" s="30"/>
      <c r="C187" s="31"/>
      <c r="D187" s="32"/>
      <c r="F187" s="31"/>
      <c r="G187" s="30"/>
      <c r="I187" s="31"/>
      <c r="AK187" s="30"/>
      <c r="AM187" s="31"/>
    </row>
    <row r="188" spans="1:39" ht="12.75">
      <c r="A188" s="30"/>
      <c r="C188" s="31"/>
      <c r="D188" s="32"/>
      <c r="F188" s="31"/>
      <c r="G188" s="30"/>
      <c r="I188" s="31"/>
      <c r="AK188" s="30"/>
      <c r="AM188" s="31"/>
    </row>
    <row r="189" spans="1:39" ht="12.75">
      <c r="A189" s="30"/>
      <c r="C189" s="31"/>
      <c r="D189" s="32"/>
      <c r="F189" s="31"/>
      <c r="G189" s="30"/>
      <c r="I189" s="31"/>
      <c r="AK189" s="30"/>
      <c r="AM189" s="31"/>
    </row>
    <row r="190" spans="1:39" ht="12.75">
      <c r="A190" s="30"/>
      <c r="C190" s="31"/>
      <c r="D190" s="32"/>
      <c r="F190" s="31"/>
      <c r="G190" s="30"/>
      <c r="I190" s="31"/>
      <c r="AK190" s="30"/>
      <c r="AM190" s="31"/>
    </row>
    <row r="191" spans="1:39" ht="12.75">
      <c r="A191" s="30"/>
      <c r="C191" s="31"/>
      <c r="D191" s="32"/>
      <c r="F191" s="31"/>
      <c r="G191" s="30"/>
      <c r="I191" s="31"/>
      <c r="AK191" s="30"/>
      <c r="AM191" s="31"/>
    </row>
    <row r="192" spans="1:39" ht="12.75">
      <c r="A192" s="30"/>
      <c r="C192" s="31"/>
      <c r="D192" s="32"/>
      <c r="F192" s="31"/>
      <c r="G192" s="30"/>
      <c r="I192" s="31"/>
      <c r="AK192" s="30"/>
      <c r="AM192" s="31"/>
    </row>
    <row r="193" spans="1:39" ht="12.75">
      <c r="A193" s="30"/>
      <c r="C193" s="31"/>
      <c r="D193" s="32"/>
      <c r="F193" s="31"/>
      <c r="G193" s="30"/>
      <c r="I193" s="31"/>
      <c r="AK193" s="30"/>
      <c r="AM193" s="31"/>
    </row>
    <row r="194" spans="1:39" ht="12.75">
      <c r="A194" s="30"/>
      <c r="C194" s="31"/>
      <c r="D194" s="32"/>
      <c r="F194" s="31"/>
      <c r="G194" s="30"/>
      <c r="I194" s="31"/>
      <c r="AK194" s="30"/>
      <c r="AM194" s="31"/>
    </row>
    <row r="195" spans="1:39" ht="12.75">
      <c r="A195" s="30"/>
      <c r="C195" s="31"/>
      <c r="D195" s="32"/>
      <c r="F195" s="31"/>
      <c r="G195" s="30"/>
      <c r="I195" s="31"/>
      <c r="AK195" s="30"/>
      <c r="AM195" s="31"/>
    </row>
    <row r="196" spans="1:39" ht="12.75">
      <c r="A196" s="30"/>
      <c r="C196" s="31"/>
      <c r="D196" s="32"/>
      <c r="F196" s="31"/>
      <c r="G196" s="30"/>
      <c r="I196" s="31"/>
      <c r="AK196" s="30"/>
      <c r="AM196" s="31"/>
    </row>
    <row r="197" spans="1:39" ht="12.75">
      <c r="A197" s="30"/>
      <c r="C197" s="31"/>
      <c r="D197" s="32"/>
      <c r="F197" s="31"/>
      <c r="G197" s="30"/>
      <c r="I197" s="31"/>
      <c r="AK197" s="30"/>
      <c r="AM197" s="31"/>
    </row>
    <row r="198" spans="1:39" ht="12.75">
      <c r="A198" s="30"/>
      <c r="C198" s="31"/>
      <c r="D198" s="32"/>
      <c r="F198" s="31"/>
      <c r="G198" s="30"/>
      <c r="I198" s="31"/>
      <c r="AK198" s="30"/>
      <c r="AM198" s="31"/>
    </row>
    <row r="199" spans="1:39" ht="12.75">
      <c r="A199" s="30"/>
      <c r="C199" s="31"/>
      <c r="D199" s="32"/>
      <c r="F199" s="31"/>
      <c r="G199" s="30"/>
      <c r="I199" s="31"/>
      <c r="AK199" s="30"/>
      <c r="AM199" s="31"/>
    </row>
    <row r="200" spans="1:39" ht="12.75">
      <c r="A200" s="30"/>
      <c r="C200" s="31"/>
      <c r="D200" s="32"/>
      <c r="F200" s="31"/>
      <c r="G200" s="30"/>
      <c r="I200" s="31"/>
      <c r="AK200" s="30"/>
      <c r="AM200" s="31"/>
    </row>
    <row r="201" spans="1:39" ht="12.75">
      <c r="A201" s="30"/>
      <c r="C201" s="31"/>
      <c r="D201" s="32"/>
      <c r="F201" s="31"/>
      <c r="G201" s="30"/>
      <c r="I201" s="31"/>
      <c r="AK201" s="30"/>
      <c r="AM201" s="31"/>
    </row>
    <row r="202" spans="1:39" ht="12.75">
      <c r="A202" s="30"/>
      <c r="C202" s="31"/>
      <c r="D202" s="32"/>
      <c r="F202" s="31"/>
      <c r="G202" s="30"/>
      <c r="I202" s="31"/>
      <c r="AK202" s="30"/>
      <c r="AM202" s="31"/>
    </row>
    <row r="203" spans="1:39" ht="12.75">
      <c r="A203" s="30"/>
      <c r="C203" s="31"/>
      <c r="D203" s="32"/>
      <c r="F203" s="31"/>
      <c r="G203" s="30"/>
      <c r="I203" s="31"/>
      <c r="AK203" s="30"/>
      <c r="AM203" s="31"/>
    </row>
    <row r="204" spans="1:39" ht="12.75">
      <c r="A204" s="30"/>
      <c r="C204" s="31"/>
      <c r="D204" s="32"/>
      <c r="F204" s="31"/>
      <c r="G204" s="30"/>
      <c r="I204" s="31"/>
      <c r="AK204" s="30"/>
      <c r="AM204" s="31"/>
    </row>
    <row r="205" spans="1:39" ht="12.75">
      <c r="A205" s="30"/>
      <c r="C205" s="31"/>
      <c r="D205" s="32"/>
      <c r="F205" s="31"/>
      <c r="G205" s="30"/>
      <c r="I205" s="31"/>
      <c r="AK205" s="30"/>
      <c r="AM205" s="31"/>
    </row>
    <row r="206" spans="1:39" ht="12.75">
      <c r="A206" s="30"/>
      <c r="C206" s="31"/>
      <c r="D206" s="32"/>
      <c r="F206" s="31"/>
      <c r="G206" s="30"/>
      <c r="I206" s="31"/>
      <c r="AK206" s="30"/>
      <c r="AM206" s="31"/>
    </row>
    <row r="207" spans="1:39" ht="12.75">
      <c r="A207" s="30"/>
      <c r="C207" s="31"/>
      <c r="D207" s="32"/>
      <c r="F207" s="31"/>
      <c r="G207" s="30"/>
      <c r="I207" s="31"/>
      <c r="AK207" s="30"/>
      <c r="AM207" s="31"/>
    </row>
    <row r="208" spans="1:39" ht="12.75">
      <c r="A208" s="30"/>
      <c r="C208" s="31"/>
      <c r="D208" s="32"/>
      <c r="F208" s="31"/>
      <c r="G208" s="30"/>
      <c r="I208" s="31"/>
      <c r="AK208" s="30"/>
      <c r="AM208" s="31"/>
    </row>
    <row r="209" spans="1:39" ht="12.75">
      <c r="A209" s="30"/>
      <c r="C209" s="31"/>
      <c r="D209" s="32"/>
      <c r="F209" s="31"/>
      <c r="G209" s="30"/>
      <c r="I209" s="31"/>
      <c r="AK209" s="30"/>
      <c r="AM209" s="31"/>
    </row>
    <row r="210" spans="1:39" ht="12.75">
      <c r="A210" s="30"/>
      <c r="C210" s="31"/>
      <c r="D210" s="32"/>
      <c r="F210" s="31"/>
      <c r="G210" s="30"/>
      <c r="I210" s="31"/>
      <c r="AK210" s="30"/>
      <c r="AM210" s="31"/>
    </row>
    <row r="211" spans="1:39" ht="12.75">
      <c r="A211" s="30"/>
      <c r="C211" s="31"/>
      <c r="D211" s="32"/>
      <c r="F211" s="31"/>
      <c r="G211" s="30"/>
      <c r="I211" s="31"/>
      <c r="AK211" s="30"/>
      <c r="AM211" s="31"/>
    </row>
    <row r="212" spans="1:39" ht="12.75">
      <c r="A212" s="30"/>
      <c r="C212" s="31"/>
      <c r="D212" s="32"/>
      <c r="F212" s="31"/>
      <c r="G212" s="30"/>
      <c r="I212" s="31"/>
      <c r="AK212" s="30"/>
      <c r="AM212" s="31"/>
    </row>
    <row r="213" spans="1:39" ht="12.75">
      <c r="A213" s="30"/>
      <c r="C213" s="31"/>
      <c r="D213" s="32"/>
      <c r="F213" s="31"/>
      <c r="G213" s="30"/>
      <c r="I213" s="31"/>
      <c r="AK213" s="30"/>
      <c r="AM213" s="31"/>
    </row>
    <row r="214" spans="1:39" ht="12.75">
      <c r="A214" s="30"/>
      <c r="C214" s="31"/>
      <c r="D214" s="32"/>
      <c r="F214" s="31"/>
      <c r="G214" s="30"/>
      <c r="I214" s="31"/>
      <c r="AK214" s="30"/>
      <c r="AM214" s="31"/>
    </row>
    <row r="215" spans="1:39" ht="12.75">
      <c r="A215" s="30"/>
      <c r="C215" s="31"/>
      <c r="D215" s="32"/>
      <c r="F215" s="31"/>
      <c r="G215" s="30"/>
      <c r="I215" s="31"/>
      <c r="AK215" s="30"/>
      <c r="AM215" s="31"/>
    </row>
    <row r="216" spans="1:39" ht="12.75">
      <c r="A216" s="30"/>
      <c r="C216" s="31"/>
      <c r="D216" s="32"/>
      <c r="F216" s="31"/>
      <c r="G216" s="30"/>
      <c r="I216" s="31"/>
      <c r="AK216" s="30"/>
      <c r="AM216" s="31"/>
    </row>
    <row r="217" spans="1:39" ht="12.75">
      <c r="A217" s="30"/>
      <c r="C217" s="31"/>
      <c r="D217" s="32"/>
      <c r="F217" s="31"/>
      <c r="G217" s="30"/>
      <c r="I217" s="31"/>
      <c r="AK217" s="30"/>
      <c r="AM217" s="31"/>
    </row>
    <row r="218" spans="1:39" ht="12.75">
      <c r="A218" s="30"/>
      <c r="C218" s="31"/>
      <c r="D218" s="32"/>
      <c r="F218" s="31"/>
      <c r="G218" s="30"/>
      <c r="I218" s="31"/>
      <c r="AK218" s="30"/>
      <c r="AM218" s="31"/>
    </row>
    <row r="219" spans="1:39" ht="12.75">
      <c r="A219" s="30"/>
      <c r="C219" s="31"/>
      <c r="D219" s="32"/>
      <c r="F219" s="31"/>
      <c r="G219" s="30"/>
      <c r="I219" s="31"/>
      <c r="AK219" s="30"/>
      <c r="AM219" s="31"/>
    </row>
    <row r="220" spans="1:39" ht="12.75">
      <c r="A220" s="30"/>
      <c r="C220" s="31"/>
      <c r="D220" s="32"/>
      <c r="F220" s="31"/>
      <c r="G220" s="30"/>
      <c r="I220" s="31"/>
      <c r="AK220" s="30"/>
      <c r="AM220" s="31"/>
    </row>
    <row r="221" spans="1:39" ht="12.75">
      <c r="A221" s="30"/>
      <c r="C221" s="31"/>
      <c r="D221" s="32"/>
      <c r="F221" s="31"/>
      <c r="G221" s="30"/>
      <c r="I221" s="31"/>
      <c r="AK221" s="30"/>
      <c r="AM221" s="31"/>
    </row>
    <row r="222" spans="1:39" ht="12.75">
      <c r="A222" s="30"/>
      <c r="C222" s="31"/>
      <c r="D222" s="32"/>
      <c r="F222" s="31"/>
      <c r="G222" s="30"/>
      <c r="I222" s="31"/>
      <c r="AK222" s="30"/>
      <c r="AM222" s="31"/>
    </row>
    <row r="223" spans="1:39" ht="12.75">
      <c r="A223" s="30"/>
      <c r="C223" s="31"/>
      <c r="D223" s="32"/>
      <c r="F223" s="31"/>
      <c r="G223" s="30"/>
      <c r="I223" s="31"/>
      <c r="AK223" s="30"/>
      <c r="AM223" s="31"/>
    </row>
    <row r="224" spans="1:39" ht="12.75">
      <c r="A224" s="30"/>
      <c r="C224" s="31"/>
      <c r="D224" s="32"/>
      <c r="F224" s="31"/>
      <c r="G224" s="30"/>
      <c r="I224" s="31"/>
      <c r="AK224" s="30"/>
      <c r="AM224" s="31"/>
    </row>
    <row r="225" spans="1:39" ht="12.75">
      <c r="A225" s="30"/>
      <c r="C225" s="31"/>
      <c r="D225" s="32"/>
      <c r="F225" s="31"/>
      <c r="G225" s="30"/>
      <c r="I225" s="31"/>
      <c r="AK225" s="30"/>
      <c r="AM225" s="31"/>
    </row>
    <row r="226" spans="1:39" ht="12.75">
      <c r="A226" s="30"/>
      <c r="C226" s="31"/>
      <c r="D226" s="32"/>
      <c r="F226" s="31"/>
      <c r="G226" s="30"/>
      <c r="I226" s="31"/>
      <c r="AK226" s="30"/>
      <c r="AM226" s="31"/>
    </row>
    <row r="227" spans="1:39" ht="12.75">
      <c r="A227" s="30"/>
      <c r="C227" s="31"/>
      <c r="D227" s="32"/>
      <c r="F227" s="31"/>
      <c r="G227" s="30"/>
      <c r="I227" s="31"/>
      <c r="AK227" s="30"/>
      <c r="AM227" s="31"/>
    </row>
    <row r="228" spans="1:39" ht="12.75">
      <c r="A228" s="30"/>
      <c r="C228" s="31"/>
      <c r="D228" s="32"/>
      <c r="F228" s="31"/>
      <c r="G228" s="30"/>
      <c r="I228" s="31"/>
      <c r="AK228" s="30"/>
      <c r="AM228" s="31"/>
    </row>
    <row r="229" spans="1:39" ht="12.75">
      <c r="A229" s="30"/>
      <c r="C229" s="31"/>
      <c r="D229" s="32"/>
      <c r="F229" s="31"/>
      <c r="G229" s="30"/>
      <c r="I229" s="31"/>
      <c r="AK229" s="30"/>
      <c r="AM229" s="31"/>
    </row>
    <row r="230" spans="1:39" ht="12.75">
      <c r="A230" s="30"/>
      <c r="C230" s="31"/>
      <c r="D230" s="32"/>
      <c r="F230" s="31"/>
      <c r="G230" s="30"/>
      <c r="I230" s="31"/>
      <c r="AK230" s="30"/>
      <c r="AM230" s="31"/>
    </row>
    <row r="231" spans="1:39" ht="12.75">
      <c r="A231" s="30"/>
      <c r="C231" s="31"/>
      <c r="D231" s="32"/>
      <c r="F231" s="31"/>
      <c r="G231" s="30"/>
      <c r="I231" s="31"/>
      <c r="AK231" s="30"/>
      <c r="AM231" s="31"/>
    </row>
    <row r="232" spans="1:39" ht="12.75">
      <c r="A232" s="30"/>
      <c r="C232" s="31"/>
      <c r="D232" s="32"/>
      <c r="F232" s="31"/>
      <c r="G232" s="30"/>
      <c r="I232" s="31"/>
      <c r="AK232" s="30"/>
      <c r="AM232" s="31"/>
    </row>
    <row r="233" spans="1:39" ht="12.75">
      <c r="A233" s="30"/>
      <c r="C233" s="31"/>
      <c r="D233" s="32"/>
      <c r="F233" s="31"/>
      <c r="G233" s="30"/>
      <c r="I233" s="31"/>
      <c r="AK233" s="30"/>
      <c r="AM233" s="31"/>
    </row>
    <row r="234" spans="1:39" ht="12.75">
      <c r="A234" s="30"/>
      <c r="C234" s="31"/>
      <c r="D234" s="32"/>
      <c r="F234" s="31"/>
      <c r="G234" s="30"/>
      <c r="I234" s="31"/>
      <c r="AK234" s="30"/>
      <c r="AM234" s="31"/>
    </row>
    <row r="235" spans="1:39" ht="12.75">
      <c r="A235" s="30"/>
      <c r="C235" s="31"/>
      <c r="D235" s="32"/>
      <c r="F235" s="31"/>
      <c r="G235" s="30"/>
      <c r="I235" s="31"/>
      <c r="AK235" s="30"/>
      <c r="AM235" s="31"/>
    </row>
    <row r="236" spans="1:39" ht="12.75">
      <c r="A236" s="30"/>
      <c r="C236" s="31"/>
      <c r="D236" s="32"/>
      <c r="F236" s="31"/>
      <c r="G236" s="30"/>
      <c r="I236" s="31"/>
      <c r="AK236" s="30"/>
      <c r="AM236" s="31"/>
    </row>
    <row r="237" spans="1:39" ht="12.75">
      <c r="A237" s="30"/>
      <c r="C237" s="31"/>
      <c r="D237" s="32"/>
      <c r="F237" s="31"/>
      <c r="G237" s="30"/>
      <c r="I237" s="31"/>
      <c r="AK237" s="30"/>
      <c r="AM237" s="31"/>
    </row>
    <row r="238" spans="1:39" ht="12.75">
      <c r="A238" s="30"/>
      <c r="C238" s="31"/>
      <c r="D238" s="32"/>
      <c r="F238" s="31"/>
      <c r="G238" s="30"/>
      <c r="I238" s="31"/>
      <c r="AK238" s="30"/>
      <c r="AM238" s="31"/>
    </row>
    <row r="239" spans="1:39" ht="12.75">
      <c r="A239" s="30"/>
      <c r="C239" s="31"/>
      <c r="D239" s="32"/>
      <c r="F239" s="31"/>
      <c r="G239" s="30"/>
      <c r="I239" s="31"/>
      <c r="AK239" s="30"/>
      <c r="AM239" s="31"/>
    </row>
    <row r="240" spans="1:39" ht="12.75">
      <c r="A240" s="30"/>
      <c r="C240" s="31"/>
      <c r="D240" s="32"/>
      <c r="F240" s="31"/>
      <c r="G240" s="30"/>
      <c r="I240" s="31"/>
      <c r="AK240" s="30"/>
      <c r="AM240" s="31"/>
    </row>
    <row r="241" spans="1:39" ht="12.75">
      <c r="A241" s="30"/>
      <c r="C241" s="31"/>
      <c r="D241" s="32"/>
      <c r="F241" s="31"/>
      <c r="G241" s="30"/>
      <c r="I241" s="31"/>
      <c r="AK241" s="30"/>
      <c r="AM241" s="31"/>
    </row>
    <row r="242" spans="1:39" ht="12.75">
      <c r="A242" s="30"/>
      <c r="C242" s="31"/>
      <c r="D242" s="32"/>
      <c r="F242" s="31"/>
      <c r="G242" s="30"/>
      <c r="I242" s="31"/>
      <c r="AK242" s="30"/>
      <c r="AM242" s="31"/>
    </row>
    <row r="243" spans="1:39" ht="12.75">
      <c r="A243" s="30"/>
      <c r="C243" s="31"/>
      <c r="D243" s="32"/>
      <c r="F243" s="31"/>
      <c r="G243" s="30"/>
      <c r="I243" s="31"/>
      <c r="AK243" s="30"/>
      <c r="AM243" s="31"/>
    </row>
    <row r="244" spans="1:39" ht="12.75">
      <c r="A244" s="30"/>
      <c r="C244" s="31"/>
      <c r="D244" s="32"/>
      <c r="F244" s="31"/>
      <c r="G244" s="30"/>
      <c r="I244" s="31"/>
      <c r="AK244" s="30"/>
      <c r="AM244" s="31"/>
    </row>
    <row r="245" spans="1:39" ht="12.75">
      <c r="A245" s="30"/>
      <c r="C245" s="31"/>
      <c r="D245" s="32"/>
      <c r="F245" s="31"/>
      <c r="G245" s="30"/>
      <c r="I245" s="31"/>
      <c r="AK245" s="30"/>
      <c r="AM245" s="31"/>
    </row>
    <row r="246" spans="1:39" ht="12.75">
      <c r="A246" s="30"/>
      <c r="C246" s="31"/>
      <c r="D246" s="32"/>
      <c r="F246" s="31"/>
      <c r="G246" s="30"/>
      <c r="I246" s="31"/>
      <c r="AK246" s="30"/>
      <c r="AM246" s="31"/>
    </row>
    <row r="247" spans="1:39" ht="12.75">
      <c r="A247" s="30"/>
      <c r="C247" s="31"/>
      <c r="D247" s="32"/>
      <c r="F247" s="31"/>
      <c r="G247" s="30"/>
      <c r="I247" s="31"/>
      <c r="AK247" s="30"/>
      <c r="AM247" s="31"/>
    </row>
    <row r="248" spans="1:39" ht="12.75">
      <c r="A248" s="30"/>
      <c r="C248" s="31"/>
      <c r="D248" s="32"/>
      <c r="F248" s="31"/>
      <c r="G248" s="30"/>
      <c r="I248" s="31"/>
      <c r="AK248" s="30"/>
      <c r="AM248" s="31"/>
    </row>
    <row r="249" spans="1:39" ht="12.75">
      <c r="A249" s="30"/>
      <c r="C249" s="31"/>
      <c r="D249" s="32"/>
      <c r="F249" s="31"/>
      <c r="G249" s="30"/>
      <c r="I249" s="31"/>
      <c r="AK249" s="30"/>
      <c r="AM249" s="31"/>
    </row>
    <row r="250" spans="1:39" ht="12.75">
      <c r="A250" s="30"/>
      <c r="C250" s="31"/>
      <c r="D250" s="32"/>
      <c r="F250" s="31"/>
      <c r="G250" s="30"/>
      <c r="I250" s="31"/>
      <c r="AK250" s="30"/>
      <c r="AM250" s="31"/>
    </row>
    <row r="251" spans="1:39" ht="12.75">
      <c r="A251" s="30"/>
      <c r="C251" s="31"/>
      <c r="D251" s="32"/>
      <c r="F251" s="31"/>
      <c r="G251" s="30"/>
      <c r="I251" s="31"/>
      <c r="AK251" s="30"/>
      <c r="AM251" s="31"/>
    </row>
    <row r="252" spans="1:39" ht="12.75">
      <c r="A252" s="30"/>
      <c r="C252" s="31"/>
      <c r="D252" s="32"/>
      <c r="F252" s="31"/>
      <c r="G252" s="30"/>
      <c r="I252" s="31"/>
      <c r="AK252" s="30"/>
      <c r="AM252" s="31"/>
    </row>
    <row r="253" spans="1:39" ht="12.75">
      <c r="A253" s="30"/>
      <c r="C253" s="31"/>
      <c r="D253" s="32"/>
      <c r="F253" s="31"/>
      <c r="G253" s="30"/>
      <c r="I253" s="31"/>
      <c r="AK253" s="30"/>
      <c r="AM253" s="31"/>
    </row>
    <row r="254" spans="1:39" ht="12.75">
      <c r="A254" s="30"/>
      <c r="C254" s="31"/>
      <c r="D254" s="32"/>
      <c r="F254" s="31"/>
      <c r="G254" s="30"/>
      <c r="I254" s="31"/>
      <c r="AK254" s="30"/>
      <c r="AM254" s="31"/>
    </row>
    <row r="255" spans="1:39" ht="12.75">
      <c r="A255" s="30"/>
      <c r="C255" s="31"/>
      <c r="D255" s="32"/>
      <c r="F255" s="31"/>
      <c r="G255" s="30"/>
      <c r="I255" s="31"/>
      <c r="AK255" s="30"/>
      <c r="AM255" s="31"/>
    </row>
    <row r="256" spans="1:39" ht="12.75">
      <c r="A256" s="30"/>
      <c r="C256" s="31"/>
      <c r="D256" s="32"/>
      <c r="F256" s="31"/>
      <c r="G256" s="30"/>
      <c r="I256" s="31"/>
      <c r="AK256" s="30"/>
      <c r="AM256" s="31"/>
    </row>
    <row r="257" spans="1:39" ht="12.75">
      <c r="A257" s="30"/>
      <c r="C257" s="31"/>
      <c r="D257" s="32"/>
      <c r="F257" s="31"/>
      <c r="G257" s="30"/>
      <c r="I257" s="31"/>
      <c r="AK257" s="30"/>
      <c r="AM257" s="31"/>
    </row>
    <row r="258" spans="1:39" ht="12.75">
      <c r="A258" s="30"/>
      <c r="C258" s="31"/>
      <c r="D258" s="32"/>
      <c r="F258" s="31"/>
      <c r="G258" s="30"/>
      <c r="I258" s="31"/>
      <c r="AK258" s="30"/>
      <c r="AM258" s="31"/>
    </row>
    <row r="259" spans="1:39" ht="12.75">
      <c r="A259" s="30"/>
      <c r="C259" s="31"/>
      <c r="D259" s="32"/>
      <c r="F259" s="31"/>
      <c r="G259" s="30"/>
      <c r="I259" s="31"/>
      <c r="AK259" s="30"/>
      <c r="AM259" s="31"/>
    </row>
    <row r="260" spans="1:39" ht="12.75">
      <c r="A260" s="30"/>
      <c r="C260" s="31"/>
      <c r="D260" s="32"/>
      <c r="F260" s="31"/>
      <c r="G260" s="30"/>
      <c r="I260" s="31"/>
      <c r="AK260" s="30"/>
      <c r="AM260" s="31"/>
    </row>
    <row r="261" spans="1:39" ht="12.75">
      <c r="A261" s="30"/>
      <c r="C261" s="31"/>
      <c r="D261" s="32"/>
      <c r="F261" s="31"/>
      <c r="G261" s="30"/>
      <c r="I261" s="31"/>
      <c r="AK261" s="30"/>
      <c r="AM261" s="31"/>
    </row>
    <row r="262" spans="1:39" ht="12.75">
      <c r="A262" s="30"/>
      <c r="C262" s="31"/>
      <c r="D262" s="32"/>
      <c r="F262" s="31"/>
      <c r="G262" s="30"/>
      <c r="I262" s="31"/>
      <c r="AK262" s="30"/>
      <c r="AM262" s="31"/>
    </row>
    <row r="263" spans="1:39" ht="12.75">
      <c r="A263" s="30"/>
      <c r="C263" s="31"/>
      <c r="D263" s="32"/>
      <c r="F263" s="31"/>
      <c r="G263" s="30"/>
      <c r="I263" s="31"/>
      <c r="AK263" s="30"/>
      <c r="AM263" s="31"/>
    </row>
    <row r="264" spans="1:39" ht="12.75">
      <c r="A264" s="30"/>
      <c r="C264" s="31"/>
      <c r="D264" s="32"/>
      <c r="F264" s="31"/>
      <c r="G264" s="30"/>
      <c r="I264" s="31"/>
      <c r="AK264" s="30"/>
      <c r="AM264" s="31"/>
    </row>
    <row r="265" spans="1:39" ht="12.75">
      <c r="A265" s="30"/>
      <c r="C265" s="31"/>
      <c r="D265" s="32"/>
      <c r="F265" s="31"/>
      <c r="G265" s="30"/>
      <c r="I265" s="31"/>
      <c r="AK265" s="30"/>
      <c r="AM265" s="31"/>
    </row>
    <row r="266" spans="1:39" ht="12.75">
      <c r="A266" s="30"/>
      <c r="C266" s="31"/>
      <c r="D266" s="32"/>
      <c r="F266" s="31"/>
      <c r="G266" s="30"/>
      <c r="I266" s="31"/>
      <c r="AK266" s="30"/>
      <c r="AM266" s="31"/>
    </row>
    <row r="267" spans="1:39" ht="12.75">
      <c r="A267" s="30"/>
      <c r="C267" s="31"/>
      <c r="D267" s="32"/>
      <c r="F267" s="31"/>
      <c r="G267" s="30"/>
      <c r="I267" s="31"/>
      <c r="AK267" s="30"/>
      <c r="AM267" s="31"/>
    </row>
    <row r="268" spans="1:39" ht="12.75">
      <c r="A268" s="30"/>
      <c r="C268" s="31"/>
      <c r="D268" s="32"/>
      <c r="F268" s="31"/>
      <c r="G268" s="30"/>
      <c r="I268" s="31"/>
      <c r="AK268" s="30"/>
      <c r="AM268" s="31"/>
    </row>
    <row r="269" spans="1:39" ht="12.75">
      <c r="A269" s="30"/>
      <c r="C269" s="31"/>
      <c r="D269" s="32"/>
      <c r="F269" s="31"/>
      <c r="G269" s="30"/>
      <c r="I269" s="31"/>
      <c r="AK269" s="30"/>
      <c r="AM269" s="31"/>
    </row>
    <row r="270" spans="1:39" ht="12.75">
      <c r="A270" s="30"/>
      <c r="C270" s="31"/>
      <c r="D270" s="32"/>
      <c r="F270" s="31"/>
      <c r="G270" s="30"/>
      <c r="I270" s="31"/>
      <c r="AK270" s="30"/>
      <c r="AM270" s="31"/>
    </row>
    <row r="271" spans="1:39" ht="12.75">
      <c r="A271" s="30"/>
      <c r="C271" s="31"/>
      <c r="D271" s="32"/>
      <c r="F271" s="31"/>
      <c r="G271" s="30"/>
      <c r="I271" s="31"/>
      <c r="AK271" s="30"/>
      <c r="AM271" s="31"/>
    </row>
    <row r="272" spans="1:39" ht="12.75">
      <c r="A272" s="30"/>
      <c r="C272" s="31"/>
      <c r="D272" s="32"/>
      <c r="F272" s="31"/>
      <c r="G272" s="30"/>
      <c r="I272" s="31"/>
      <c r="AK272" s="30"/>
      <c r="AM272" s="31"/>
    </row>
    <row r="273" spans="1:39" ht="12.75">
      <c r="A273" s="30"/>
      <c r="C273" s="31"/>
      <c r="D273" s="32"/>
      <c r="F273" s="31"/>
      <c r="G273" s="30"/>
      <c r="I273" s="31"/>
      <c r="AK273" s="30"/>
      <c r="AM273" s="31"/>
    </row>
    <row r="274" spans="1:39" ht="12.75">
      <c r="A274" s="30"/>
      <c r="C274" s="31"/>
      <c r="D274" s="32"/>
      <c r="F274" s="31"/>
      <c r="G274" s="30"/>
      <c r="I274" s="31"/>
      <c r="AK274" s="30"/>
      <c r="AM274" s="31"/>
    </row>
    <row r="275" spans="1:39" ht="12.75">
      <c r="A275" s="30"/>
      <c r="C275" s="31"/>
      <c r="D275" s="32"/>
      <c r="F275" s="31"/>
      <c r="G275" s="30"/>
      <c r="I275" s="31"/>
      <c r="AK275" s="30"/>
      <c r="AM275" s="31"/>
    </row>
    <row r="276" spans="1:39" ht="12.75">
      <c r="A276" s="30"/>
      <c r="C276" s="31"/>
      <c r="D276" s="32"/>
      <c r="F276" s="31"/>
      <c r="G276" s="30"/>
      <c r="I276" s="31"/>
      <c r="AK276" s="30"/>
      <c r="AM276" s="31"/>
    </row>
    <row r="277" spans="1:39" ht="12.75">
      <c r="A277" s="30"/>
      <c r="C277" s="31"/>
      <c r="D277" s="32"/>
      <c r="F277" s="31"/>
      <c r="G277" s="30"/>
      <c r="I277" s="31"/>
      <c r="AK277" s="30"/>
      <c r="AM277" s="31"/>
    </row>
    <row r="278" spans="1:39" ht="12.75">
      <c r="A278" s="30"/>
      <c r="C278" s="31"/>
      <c r="D278" s="32"/>
      <c r="F278" s="31"/>
      <c r="G278" s="30"/>
      <c r="I278" s="31"/>
      <c r="AK278" s="30"/>
      <c r="AM278" s="31"/>
    </row>
    <row r="279" spans="1:39" ht="12.75">
      <c r="A279" s="30"/>
      <c r="C279" s="31"/>
      <c r="D279" s="32"/>
      <c r="F279" s="31"/>
      <c r="G279" s="30"/>
      <c r="I279" s="31"/>
      <c r="AK279" s="30"/>
      <c r="AM279" s="31"/>
    </row>
    <row r="280" spans="1:39" ht="12.75">
      <c r="A280" s="30"/>
      <c r="C280" s="31"/>
      <c r="D280" s="32"/>
      <c r="F280" s="31"/>
      <c r="G280" s="30"/>
      <c r="I280" s="31"/>
      <c r="AK280" s="30"/>
      <c r="AM280" s="31"/>
    </row>
    <row r="281" spans="1:39" ht="12.75">
      <c r="A281" s="30"/>
      <c r="C281" s="31"/>
      <c r="D281" s="32"/>
      <c r="F281" s="31"/>
      <c r="G281" s="30"/>
      <c r="I281" s="31"/>
      <c r="AK281" s="30"/>
      <c r="AM281" s="31"/>
    </row>
    <row r="282" spans="1:39" ht="12.75">
      <c r="A282" s="30"/>
      <c r="C282" s="31"/>
      <c r="D282" s="32"/>
      <c r="F282" s="31"/>
      <c r="G282" s="30"/>
      <c r="I282" s="31"/>
      <c r="AK282" s="30"/>
      <c r="AM282" s="31"/>
    </row>
    <row r="283" spans="1:39" ht="12.75">
      <c r="A283" s="30"/>
      <c r="C283" s="31"/>
      <c r="D283" s="32"/>
      <c r="F283" s="31"/>
      <c r="G283" s="30"/>
      <c r="I283" s="31"/>
      <c r="AK283" s="30"/>
      <c r="AM283" s="31"/>
    </row>
    <row r="284" spans="1:39" ht="12.75">
      <c r="A284" s="30"/>
      <c r="C284" s="31"/>
      <c r="D284" s="32"/>
      <c r="F284" s="31"/>
      <c r="G284" s="30"/>
      <c r="I284" s="31"/>
      <c r="AK284" s="30"/>
      <c r="AM284" s="31"/>
    </row>
    <row r="285" spans="1:39" ht="12.75">
      <c r="A285" s="30"/>
      <c r="C285" s="31"/>
      <c r="D285" s="32"/>
      <c r="F285" s="31"/>
      <c r="G285" s="30"/>
      <c r="I285" s="31"/>
      <c r="AK285" s="30"/>
      <c r="AM285" s="31"/>
    </row>
    <row r="286" spans="1:39" ht="12.75">
      <c r="A286" s="30"/>
      <c r="C286" s="31"/>
      <c r="D286" s="32"/>
      <c r="F286" s="31"/>
      <c r="G286" s="30"/>
      <c r="I286" s="31"/>
      <c r="AK286" s="30"/>
      <c r="AM286" s="31"/>
    </row>
    <row r="287" spans="1:39" ht="12.75">
      <c r="A287" s="30"/>
      <c r="C287" s="31"/>
      <c r="D287" s="32"/>
      <c r="F287" s="31"/>
      <c r="G287" s="30"/>
      <c r="I287" s="31"/>
      <c r="AK287" s="30"/>
      <c r="AM287" s="31"/>
    </row>
    <row r="288" spans="1:39" ht="12.75">
      <c r="A288" s="30"/>
      <c r="C288" s="31"/>
      <c r="D288" s="32"/>
      <c r="F288" s="31"/>
      <c r="G288" s="30"/>
      <c r="I288" s="31"/>
      <c r="AK288" s="30"/>
      <c r="AM288" s="31"/>
    </row>
    <row r="289" spans="1:39" ht="12.75">
      <c r="A289" s="30"/>
      <c r="C289" s="31"/>
      <c r="D289" s="32"/>
      <c r="F289" s="31"/>
      <c r="G289" s="30"/>
      <c r="I289" s="31"/>
      <c r="AK289" s="30"/>
      <c r="AM289" s="31"/>
    </row>
    <row r="290" spans="1:39" ht="12.75">
      <c r="A290" s="30"/>
      <c r="C290" s="31"/>
      <c r="D290" s="32"/>
      <c r="F290" s="31"/>
      <c r="G290" s="30"/>
      <c r="I290" s="31"/>
      <c r="AK290" s="30"/>
      <c r="AM290" s="31"/>
    </row>
    <row r="291" spans="1:39" ht="12.75">
      <c r="A291" s="30"/>
      <c r="C291" s="31"/>
      <c r="D291" s="32"/>
      <c r="F291" s="31"/>
      <c r="G291" s="30"/>
      <c r="I291" s="31"/>
      <c r="AK291" s="30"/>
      <c r="AM291" s="31"/>
    </row>
    <row r="292" spans="1:39" ht="12.75">
      <c r="A292" s="30"/>
      <c r="C292" s="31"/>
      <c r="D292" s="32"/>
      <c r="F292" s="31"/>
      <c r="G292" s="30"/>
      <c r="I292" s="31"/>
      <c r="AK292" s="30"/>
      <c r="AM292" s="31"/>
    </row>
    <row r="293" spans="1:39" ht="12.75">
      <c r="A293" s="30"/>
      <c r="C293" s="31"/>
      <c r="D293" s="32"/>
      <c r="F293" s="31"/>
      <c r="G293" s="30"/>
      <c r="I293" s="31"/>
      <c r="AK293" s="30"/>
      <c r="AM293" s="31"/>
    </row>
    <row r="294" spans="1:39" ht="12.75">
      <c r="A294" s="30"/>
      <c r="C294" s="31"/>
      <c r="D294" s="32"/>
      <c r="F294" s="31"/>
      <c r="G294" s="30"/>
      <c r="I294" s="31"/>
      <c r="AK294" s="30"/>
      <c r="AM294" s="31"/>
    </row>
    <row r="295" spans="1:39" ht="12.75">
      <c r="A295" s="30"/>
      <c r="C295" s="31"/>
      <c r="D295" s="32"/>
      <c r="F295" s="31"/>
      <c r="G295" s="30"/>
      <c r="I295" s="31"/>
      <c r="AK295" s="30"/>
      <c r="AM295" s="31"/>
    </row>
    <row r="296" spans="1:39" ht="12.75">
      <c r="A296" s="30"/>
      <c r="C296" s="31"/>
      <c r="D296" s="32"/>
      <c r="F296" s="31"/>
      <c r="G296" s="30"/>
      <c r="I296" s="31"/>
      <c r="AK296" s="30"/>
      <c r="AM296" s="31"/>
    </row>
    <row r="297" spans="1:39" ht="12.75">
      <c r="A297" s="30"/>
      <c r="C297" s="31"/>
      <c r="D297" s="32"/>
      <c r="F297" s="31"/>
      <c r="G297" s="30"/>
      <c r="I297" s="31"/>
      <c r="AK297" s="30"/>
      <c r="AM297" s="31"/>
    </row>
    <row r="298" spans="1:39" ht="12.75">
      <c r="A298" s="30"/>
      <c r="C298" s="31"/>
      <c r="D298" s="32"/>
      <c r="F298" s="31"/>
      <c r="G298" s="30"/>
      <c r="I298" s="31"/>
      <c r="AK298" s="30"/>
      <c r="AM298" s="31"/>
    </row>
    <row r="299" spans="1:39" ht="12.75">
      <c r="A299" s="30"/>
      <c r="C299" s="31"/>
      <c r="D299" s="32"/>
      <c r="F299" s="31"/>
      <c r="G299" s="30"/>
      <c r="I299" s="31"/>
      <c r="AK299" s="30"/>
      <c r="AM299" s="31"/>
    </row>
    <row r="300" spans="1:39" ht="12.75">
      <c r="A300" s="30"/>
      <c r="C300" s="31"/>
      <c r="D300" s="32"/>
      <c r="F300" s="31"/>
      <c r="G300" s="30"/>
      <c r="I300" s="31"/>
      <c r="AK300" s="30"/>
      <c r="AM300" s="31"/>
    </row>
    <row r="301" spans="1:39" ht="12.75">
      <c r="A301" s="30"/>
      <c r="C301" s="31"/>
      <c r="D301" s="32"/>
      <c r="F301" s="31"/>
      <c r="G301" s="30"/>
      <c r="I301" s="31"/>
      <c r="AK301" s="30"/>
      <c r="AM301" s="31"/>
    </row>
    <row r="302" spans="1:39" ht="12.75">
      <c r="A302" s="30"/>
      <c r="C302" s="31"/>
      <c r="D302" s="32"/>
      <c r="F302" s="31"/>
      <c r="G302" s="30"/>
      <c r="I302" s="31"/>
      <c r="AK302" s="30"/>
      <c r="AM302" s="31"/>
    </row>
    <row r="303" spans="1:39" ht="12.75">
      <c r="A303" s="30"/>
      <c r="C303" s="31"/>
      <c r="D303" s="32"/>
      <c r="F303" s="31"/>
      <c r="G303" s="30"/>
      <c r="I303" s="31"/>
      <c r="AK303" s="30"/>
      <c r="AM303" s="31"/>
    </row>
    <row r="304" spans="1:39" ht="12.75">
      <c r="A304" s="30"/>
      <c r="C304" s="31"/>
      <c r="D304" s="32"/>
      <c r="F304" s="31"/>
      <c r="G304" s="30"/>
      <c r="I304" s="31"/>
      <c r="AK304" s="30"/>
      <c r="AM304" s="31"/>
    </row>
    <row r="305" spans="1:39" ht="12.75">
      <c r="A305" s="30"/>
      <c r="C305" s="31"/>
      <c r="D305" s="32"/>
      <c r="F305" s="31"/>
      <c r="G305" s="30"/>
      <c r="I305" s="31"/>
      <c r="AK305" s="30"/>
      <c r="AM305" s="31"/>
    </row>
    <row r="306" spans="1:39" ht="12.75">
      <c r="A306" s="30"/>
      <c r="C306" s="31"/>
      <c r="D306" s="32"/>
      <c r="F306" s="31"/>
      <c r="G306" s="30"/>
      <c r="I306" s="31"/>
      <c r="AK306" s="30"/>
      <c r="AM306" s="31"/>
    </row>
    <row r="307" spans="1:39" ht="12.75">
      <c r="A307" s="30"/>
      <c r="C307" s="31"/>
      <c r="D307" s="32"/>
      <c r="F307" s="31"/>
      <c r="G307" s="30"/>
      <c r="I307" s="31"/>
      <c r="AK307" s="30"/>
      <c r="AM307" s="31"/>
    </row>
    <row r="308" spans="1:39" ht="12.75">
      <c r="A308" s="30"/>
      <c r="C308" s="31"/>
      <c r="D308" s="32"/>
      <c r="F308" s="31"/>
      <c r="G308" s="30"/>
      <c r="I308" s="31"/>
      <c r="AK308" s="30"/>
      <c r="AM308" s="31"/>
    </row>
    <row r="309" spans="1:39" ht="12.75">
      <c r="A309" s="30"/>
      <c r="C309" s="31"/>
      <c r="D309" s="32"/>
      <c r="F309" s="31"/>
      <c r="G309" s="30"/>
      <c r="I309" s="31"/>
      <c r="AK309" s="30"/>
      <c r="AM309" s="31"/>
    </row>
    <row r="310" spans="1:39" ht="12.75">
      <c r="A310" s="30"/>
      <c r="C310" s="31"/>
      <c r="D310" s="32"/>
      <c r="F310" s="31"/>
      <c r="G310" s="30"/>
      <c r="I310" s="31"/>
      <c r="AK310" s="30"/>
      <c r="AM310" s="31"/>
    </row>
    <row r="311" spans="1:39" ht="12.75">
      <c r="A311" s="30"/>
      <c r="C311" s="31"/>
      <c r="D311" s="32"/>
      <c r="F311" s="31"/>
      <c r="G311" s="30"/>
      <c r="I311" s="31"/>
      <c r="AK311" s="30"/>
      <c r="AM311" s="31"/>
    </row>
    <row r="312" spans="1:39" ht="12.75">
      <c r="A312" s="30"/>
      <c r="C312" s="31"/>
      <c r="D312" s="32"/>
      <c r="F312" s="31"/>
      <c r="G312" s="30"/>
      <c r="I312" s="31"/>
      <c r="AK312" s="30"/>
      <c r="AM312" s="31"/>
    </row>
    <row r="313" spans="1:39" ht="12.75">
      <c r="A313" s="30"/>
      <c r="C313" s="31"/>
      <c r="D313" s="32"/>
      <c r="F313" s="31"/>
      <c r="G313" s="30"/>
      <c r="I313" s="31"/>
      <c r="AK313" s="30"/>
      <c r="AM313" s="31"/>
    </row>
    <row r="314" spans="1:39" ht="12.75">
      <c r="A314" s="30"/>
      <c r="C314" s="31"/>
      <c r="D314" s="32"/>
      <c r="F314" s="31"/>
      <c r="G314" s="30"/>
      <c r="I314" s="31"/>
      <c r="AK314" s="30"/>
      <c r="AM314" s="31"/>
    </row>
    <row r="315" spans="1:39" ht="12.75">
      <c r="A315" s="30"/>
      <c r="C315" s="31"/>
      <c r="D315" s="32"/>
      <c r="F315" s="31"/>
      <c r="G315" s="30"/>
      <c r="I315" s="31"/>
      <c r="AK315" s="30"/>
      <c r="AM315" s="31"/>
    </row>
    <row r="316" spans="1:39" ht="12.75">
      <c r="A316" s="30"/>
      <c r="C316" s="31"/>
      <c r="D316" s="32"/>
      <c r="F316" s="31"/>
      <c r="G316" s="30"/>
      <c r="I316" s="31"/>
      <c r="AK316" s="30"/>
      <c r="AM316" s="31"/>
    </row>
    <row r="317" spans="1:39" ht="12.75">
      <c r="A317" s="30"/>
      <c r="C317" s="31"/>
      <c r="D317" s="32"/>
      <c r="F317" s="31"/>
      <c r="G317" s="30"/>
      <c r="I317" s="31"/>
      <c r="AK317" s="30"/>
      <c r="AM317" s="31"/>
    </row>
    <row r="318" spans="1:39" ht="12.75">
      <c r="A318" s="30"/>
      <c r="C318" s="31"/>
      <c r="D318" s="32"/>
      <c r="F318" s="31"/>
      <c r="G318" s="30"/>
      <c r="I318" s="31"/>
      <c r="AK318" s="30"/>
      <c r="AM318" s="31"/>
    </row>
    <row r="319" spans="1:39" ht="12.75">
      <c r="A319" s="30"/>
      <c r="C319" s="31"/>
      <c r="D319" s="32"/>
      <c r="F319" s="31"/>
      <c r="G319" s="30"/>
      <c r="I319" s="31"/>
      <c r="AK319" s="30"/>
      <c r="AM319" s="31"/>
    </row>
    <row r="320" spans="1:39" ht="12.75">
      <c r="A320" s="30"/>
      <c r="C320" s="31"/>
      <c r="D320" s="32"/>
      <c r="F320" s="31"/>
      <c r="G320" s="30"/>
      <c r="I320" s="31"/>
      <c r="AK320" s="30"/>
      <c r="AM320" s="31"/>
    </row>
    <row r="321" spans="1:39" ht="12.75">
      <c r="A321" s="30"/>
      <c r="C321" s="31"/>
      <c r="D321" s="32"/>
      <c r="F321" s="31"/>
      <c r="G321" s="30"/>
      <c r="I321" s="31"/>
      <c r="AK321" s="30"/>
      <c r="AM321" s="31"/>
    </row>
    <row r="322" spans="1:39" ht="12.75">
      <c r="A322" s="30"/>
      <c r="C322" s="31"/>
      <c r="D322" s="32"/>
      <c r="F322" s="31"/>
      <c r="G322" s="30"/>
      <c r="I322" s="31"/>
      <c r="AK322" s="30"/>
      <c r="AM322" s="31"/>
    </row>
    <row r="323" spans="1:39" ht="12.75">
      <c r="A323" s="30"/>
      <c r="C323" s="31"/>
      <c r="D323" s="32"/>
      <c r="F323" s="31"/>
      <c r="G323" s="30"/>
      <c r="I323" s="31"/>
      <c r="AK323" s="30"/>
      <c r="AM323" s="31"/>
    </row>
    <row r="324" spans="1:39" ht="12.75">
      <c r="A324" s="30"/>
      <c r="C324" s="31"/>
      <c r="D324" s="32"/>
      <c r="F324" s="31"/>
      <c r="G324" s="30"/>
      <c r="I324" s="31"/>
      <c r="AK324" s="30"/>
      <c r="AM324" s="31"/>
    </row>
    <row r="325" spans="1:39" ht="12.75">
      <c r="A325" s="30"/>
      <c r="C325" s="31"/>
      <c r="D325" s="32"/>
      <c r="F325" s="31"/>
      <c r="G325" s="30"/>
      <c r="I325" s="31"/>
      <c r="AK325" s="30"/>
      <c r="AM325" s="31"/>
    </row>
    <row r="326" spans="1:39" ht="12.75">
      <c r="A326" s="30"/>
      <c r="C326" s="31"/>
      <c r="D326" s="32"/>
      <c r="F326" s="31"/>
      <c r="G326" s="30"/>
      <c r="I326" s="31"/>
      <c r="AK326" s="30"/>
      <c r="AM326" s="31"/>
    </row>
    <row r="327" spans="1:39" ht="12.75">
      <c r="A327" s="30"/>
      <c r="C327" s="31"/>
      <c r="D327" s="32"/>
      <c r="F327" s="31"/>
      <c r="G327" s="30"/>
      <c r="I327" s="31"/>
      <c r="AK327" s="30"/>
      <c r="AM327" s="31"/>
    </row>
    <row r="328" spans="1:39" ht="12.75">
      <c r="A328" s="30"/>
      <c r="C328" s="31"/>
      <c r="D328" s="32"/>
      <c r="F328" s="31"/>
      <c r="G328" s="30"/>
      <c r="I328" s="31"/>
      <c r="AK328" s="30"/>
      <c r="AM328" s="31"/>
    </row>
    <row r="329" spans="1:39" ht="12.75">
      <c r="A329" s="30"/>
      <c r="C329" s="31"/>
      <c r="D329" s="32"/>
      <c r="F329" s="31"/>
      <c r="G329" s="30"/>
      <c r="I329" s="31"/>
      <c r="AK329" s="30"/>
      <c r="AM329" s="31"/>
    </row>
    <row r="330" spans="1:39" ht="12.75">
      <c r="A330" s="30"/>
      <c r="C330" s="31"/>
      <c r="D330" s="32"/>
      <c r="F330" s="31"/>
      <c r="G330" s="30"/>
      <c r="I330" s="31"/>
      <c r="AK330" s="30"/>
      <c r="AM330" s="31"/>
    </row>
    <row r="331" spans="1:39" ht="12.75">
      <c r="A331" s="30"/>
      <c r="C331" s="31"/>
      <c r="D331" s="32"/>
      <c r="F331" s="31"/>
      <c r="G331" s="30"/>
      <c r="I331" s="31"/>
      <c r="AK331" s="30"/>
      <c r="AM331" s="31"/>
    </row>
    <row r="332" spans="1:39" ht="12.75">
      <c r="A332" s="30"/>
      <c r="C332" s="31"/>
      <c r="D332" s="32"/>
      <c r="F332" s="31"/>
      <c r="G332" s="30"/>
      <c r="I332" s="31"/>
      <c r="AK332" s="30"/>
      <c r="AM332" s="31"/>
    </row>
    <row r="333" spans="1:39" ht="12.75">
      <c r="A333" s="30"/>
      <c r="C333" s="31"/>
      <c r="D333" s="32"/>
      <c r="F333" s="31"/>
      <c r="G333" s="30"/>
      <c r="I333" s="31"/>
      <c r="AK333" s="30"/>
      <c r="AM333" s="31"/>
    </row>
    <row r="334" spans="1:39" ht="12.75">
      <c r="A334" s="30"/>
      <c r="C334" s="31"/>
      <c r="D334" s="32"/>
      <c r="F334" s="31"/>
      <c r="G334" s="30"/>
      <c r="I334" s="31"/>
      <c r="AK334" s="30"/>
      <c r="AM334" s="31"/>
    </row>
    <row r="335" spans="1:39" ht="12.75">
      <c r="A335" s="30"/>
      <c r="C335" s="31"/>
      <c r="D335" s="32"/>
      <c r="F335" s="31"/>
      <c r="G335" s="30"/>
      <c r="I335" s="31"/>
      <c r="AK335" s="30"/>
      <c r="AM335" s="31"/>
    </row>
    <row r="336" spans="1:39" ht="12.75">
      <c r="A336" s="30"/>
      <c r="C336" s="31"/>
      <c r="D336" s="32"/>
      <c r="F336" s="31"/>
      <c r="G336" s="30"/>
      <c r="I336" s="31"/>
      <c r="AK336" s="30"/>
      <c r="AM336" s="31"/>
    </row>
    <row r="337" spans="1:39" ht="12.75">
      <c r="A337" s="30"/>
      <c r="C337" s="31"/>
      <c r="D337" s="32"/>
      <c r="F337" s="31"/>
      <c r="G337" s="30"/>
      <c r="I337" s="31"/>
      <c r="AK337" s="30"/>
      <c r="AM337" s="31"/>
    </row>
    <row r="338" spans="1:39" ht="12.75">
      <c r="A338" s="30"/>
      <c r="C338" s="31"/>
      <c r="D338" s="32"/>
      <c r="F338" s="31"/>
      <c r="G338" s="30"/>
      <c r="I338" s="31"/>
      <c r="AK338" s="30"/>
      <c r="AM338" s="31"/>
    </row>
    <row r="339" spans="1:39" ht="12.75">
      <c r="A339" s="30"/>
      <c r="C339" s="31"/>
      <c r="D339" s="32"/>
      <c r="F339" s="31"/>
      <c r="G339" s="30"/>
      <c r="I339" s="31"/>
      <c r="AK339" s="30"/>
      <c r="AM339" s="31"/>
    </row>
    <row r="340" spans="1:39" ht="12.75">
      <c r="A340" s="30"/>
      <c r="C340" s="31"/>
      <c r="D340" s="32"/>
      <c r="F340" s="31"/>
      <c r="G340" s="30"/>
      <c r="I340" s="31"/>
      <c r="AK340" s="30"/>
      <c r="AM340" s="31"/>
    </row>
    <row r="341" spans="1:39" ht="12.75">
      <c r="A341" s="30"/>
      <c r="C341" s="31"/>
      <c r="D341" s="32"/>
      <c r="F341" s="31"/>
      <c r="G341" s="30"/>
      <c r="I341" s="31"/>
      <c r="AK341" s="30"/>
      <c r="AM341" s="31"/>
    </row>
    <row r="342" spans="1:39" ht="12.75">
      <c r="A342" s="30"/>
      <c r="C342" s="31"/>
      <c r="D342" s="32"/>
      <c r="F342" s="31"/>
      <c r="G342" s="30"/>
      <c r="I342" s="31"/>
      <c r="AK342" s="30"/>
      <c r="AM342" s="31"/>
    </row>
    <row r="343" spans="1:39" ht="12.75">
      <c r="A343" s="30"/>
      <c r="C343" s="31"/>
      <c r="D343" s="32"/>
      <c r="F343" s="31"/>
      <c r="G343" s="30"/>
      <c r="I343" s="31"/>
      <c r="AK343" s="30"/>
      <c r="AM343" s="31"/>
    </row>
    <row r="344" spans="1:39" ht="12.75">
      <c r="A344" s="30"/>
      <c r="C344" s="31"/>
      <c r="D344" s="32"/>
      <c r="F344" s="31"/>
      <c r="G344" s="30"/>
      <c r="I344" s="31"/>
      <c r="AK344" s="30"/>
      <c r="AM344" s="31"/>
    </row>
    <row r="345" spans="1:39" ht="12.75">
      <c r="A345" s="30"/>
      <c r="C345" s="31"/>
      <c r="D345" s="32"/>
      <c r="F345" s="31"/>
      <c r="G345" s="30"/>
      <c r="I345" s="31"/>
      <c r="AK345" s="30"/>
      <c r="AM345" s="31"/>
    </row>
    <row r="346" spans="1:39" ht="12.75">
      <c r="A346" s="30"/>
      <c r="C346" s="31"/>
      <c r="D346" s="32"/>
      <c r="F346" s="31"/>
      <c r="G346" s="30"/>
      <c r="I346" s="31"/>
      <c r="AK346" s="30"/>
      <c r="AM346" s="31"/>
    </row>
    <row r="347" spans="1:39" ht="12.75">
      <c r="A347" s="30"/>
      <c r="C347" s="31"/>
      <c r="D347" s="32"/>
      <c r="F347" s="31"/>
      <c r="G347" s="30"/>
      <c r="I347" s="31"/>
      <c r="AK347" s="30"/>
      <c r="AM347" s="31"/>
    </row>
    <row r="348" spans="1:39" ht="12.75">
      <c r="A348" s="30"/>
      <c r="C348" s="31"/>
      <c r="D348" s="32"/>
      <c r="F348" s="31"/>
      <c r="G348" s="30"/>
      <c r="I348" s="31"/>
      <c r="AK348" s="30"/>
      <c r="AM348" s="31"/>
    </row>
    <row r="349" spans="1:39" ht="12.75">
      <c r="A349" s="30"/>
      <c r="C349" s="31"/>
      <c r="D349" s="32"/>
      <c r="F349" s="31"/>
      <c r="G349" s="30"/>
      <c r="I349" s="31"/>
      <c r="AK349" s="30"/>
      <c r="AM349" s="31"/>
    </row>
    <row r="350" spans="1:39" ht="12.75">
      <c r="A350" s="30"/>
      <c r="C350" s="31"/>
      <c r="D350" s="32"/>
      <c r="F350" s="31"/>
      <c r="G350" s="30"/>
      <c r="I350" s="31"/>
      <c r="AK350" s="30"/>
      <c r="AM350" s="31"/>
    </row>
    <row r="351" spans="1:39" ht="12.75">
      <c r="A351" s="30"/>
      <c r="C351" s="31"/>
      <c r="D351" s="32"/>
      <c r="F351" s="31"/>
      <c r="G351" s="30"/>
      <c r="I351" s="31"/>
      <c r="AK351" s="30"/>
      <c r="AM351" s="31"/>
    </row>
    <row r="352" spans="1:39" ht="12.75">
      <c r="A352" s="30"/>
      <c r="C352" s="31"/>
      <c r="D352" s="32"/>
      <c r="F352" s="31"/>
      <c r="G352" s="30"/>
      <c r="I352" s="31"/>
      <c r="AK352" s="30"/>
      <c r="AM352" s="31"/>
    </row>
    <row r="353" spans="1:39" ht="12.75">
      <c r="A353" s="30"/>
      <c r="C353" s="31"/>
      <c r="D353" s="32"/>
      <c r="F353" s="31"/>
      <c r="G353" s="30"/>
      <c r="I353" s="31"/>
      <c r="AK353" s="30"/>
      <c r="AM353" s="31"/>
    </row>
    <row r="354" spans="1:39" ht="12.75">
      <c r="A354" s="30"/>
      <c r="C354" s="31"/>
      <c r="D354" s="32"/>
      <c r="F354" s="31"/>
      <c r="G354" s="30"/>
      <c r="I354" s="31"/>
      <c r="AK354" s="30"/>
      <c r="AM354" s="31"/>
    </row>
    <row r="355" spans="1:39" ht="12.75">
      <c r="A355" s="30"/>
      <c r="C355" s="31"/>
      <c r="D355" s="32"/>
      <c r="F355" s="31"/>
      <c r="G355" s="30"/>
      <c r="I355" s="31"/>
      <c r="AK355" s="30"/>
      <c r="AM355" s="31"/>
    </row>
    <row r="356" spans="1:39" ht="12.75">
      <c r="A356" s="30"/>
      <c r="C356" s="31"/>
      <c r="D356" s="32"/>
      <c r="F356" s="31"/>
      <c r="G356" s="30"/>
      <c r="I356" s="31"/>
      <c r="AK356" s="30"/>
      <c r="AM356" s="31"/>
    </row>
    <row r="357" spans="1:39" ht="12.75">
      <c r="A357" s="30"/>
      <c r="C357" s="31"/>
      <c r="D357" s="32"/>
      <c r="F357" s="31"/>
      <c r="G357" s="30"/>
      <c r="I357" s="31"/>
      <c r="AK357" s="30"/>
      <c r="AM357" s="31"/>
    </row>
    <row r="358" spans="1:39" ht="12.75">
      <c r="A358" s="30"/>
      <c r="C358" s="31"/>
      <c r="D358" s="32"/>
      <c r="F358" s="31"/>
      <c r="G358" s="30"/>
      <c r="I358" s="31"/>
      <c r="AK358" s="30"/>
      <c r="AM358" s="31"/>
    </row>
    <row r="359" spans="1:39" ht="12.75">
      <c r="A359" s="30"/>
      <c r="C359" s="31"/>
      <c r="D359" s="32"/>
      <c r="F359" s="31"/>
      <c r="G359" s="30"/>
      <c r="I359" s="31"/>
      <c r="AK359" s="30"/>
      <c r="AM359" s="31"/>
    </row>
    <row r="360" spans="1:39" ht="12.75">
      <c r="A360" s="30"/>
      <c r="C360" s="31"/>
      <c r="D360" s="32"/>
      <c r="F360" s="31"/>
      <c r="G360" s="30"/>
      <c r="I360" s="31"/>
      <c r="AK360" s="30"/>
      <c r="AM360" s="31"/>
    </row>
    <row r="361" spans="1:39" ht="12.75">
      <c r="A361" s="30"/>
      <c r="C361" s="31"/>
      <c r="D361" s="32"/>
      <c r="F361" s="31"/>
      <c r="G361" s="30"/>
      <c r="I361" s="31"/>
      <c r="AK361" s="30"/>
      <c r="AM361" s="31"/>
    </row>
    <row r="362" spans="1:39" ht="12.75">
      <c r="A362" s="30"/>
      <c r="C362" s="31"/>
      <c r="D362" s="32"/>
      <c r="F362" s="31"/>
      <c r="G362" s="30"/>
      <c r="I362" s="31"/>
      <c r="AK362" s="30"/>
      <c r="AM362" s="31"/>
    </row>
    <row r="363" spans="1:39" ht="12.75">
      <c r="A363" s="30"/>
      <c r="C363" s="31"/>
      <c r="D363" s="32"/>
      <c r="F363" s="31"/>
      <c r="G363" s="30"/>
      <c r="I363" s="31"/>
      <c r="AK363" s="30"/>
      <c r="AM363" s="31"/>
    </row>
    <row r="364" spans="1:39" ht="12.75">
      <c r="A364" s="30"/>
      <c r="C364" s="31"/>
      <c r="D364" s="32"/>
      <c r="F364" s="31"/>
      <c r="G364" s="30"/>
      <c r="I364" s="31"/>
      <c r="AK364" s="30"/>
      <c r="AM364" s="31"/>
    </row>
    <row r="365" spans="1:39" ht="12.75">
      <c r="A365" s="30"/>
      <c r="C365" s="31"/>
      <c r="D365" s="32"/>
      <c r="F365" s="31"/>
      <c r="G365" s="30"/>
      <c r="I365" s="31"/>
      <c r="AK365" s="30"/>
      <c r="AM365" s="31"/>
    </row>
    <row r="366" spans="1:39" ht="12.75">
      <c r="A366" s="30"/>
      <c r="C366" s="31"/>
      <c r="D366" s="32"/>
      <c r="F366" s="31"/>
      <c r="G366" s="30"/>
      <c r="I366" s="31"/>
      <c r="AK366" s="30"/>
      <c r="AM366" s="31"/>
    </row>
    <row r="367" spans="1:39" ht="12.75">
      <c r="A367" s="30"/>
      <c r="C367" s="31"/>
      <c r="D367" s="32"/>
      <c r="F367" s="31"/>
      <c r="G367" s="30"/>
      <c r="I367" s="31"/>
      <c r="AK367" s="30"/>
      <c r="AM367" s="31"/>
    </row>
    <row r="368" spans="1:39" ht="12.75">
      <c r="A368" s="30"/>
      <c r="C368" s="31"/>
      <c r="D368" s="32"/>
      <c r="F368" s="31"/>
      <c r="G368" s="30"/>
      <c r="I368" s="31"/>
      <c r="AK368" s="30"/>
      <c r="AM368" s="31"/>
    </row>
    <row r="369" spans="1:39" ht="12.75">
      <c r="A369" s="30"/>
      <c r="C369" s="31"/>
      <c r="D369" s="32"/>
      <c r="F369" s="31"/>
      <c r="G369" s="30"/>
      <c r="I369" s="31"/>
      <c r="AK369" s="30"/>
      <c r="AM369" s="31"/>
    </row>
    <row r="370" spans="1:39" ht="12.75">
      <c r="A370" s="30"/>
      <c r="C370" s="31"/>
      <c r="D370" s="32"/>
      <c r="F370" s="31"/>
      <c r="G370" s="30"/>
      <c r="I370" s="31"/>
      <c r="AK370" s="30"/>
      <c r="AM370" s="31"/>
    </row>
    <row r="371" spans="1:39" ht="12.75">
      <c r="A371" s="30"/>
      <c r="C371" s="31"/>
      <c r="D371" s="32"/>
      <c r="F371" s="31"/>
      <c r="G371" s="30"/>
      <c r="I371" s="31"/>
      <c r="AK371" s="30"/>
      <c r="AM371" s="31"/>
    </row>
    <row r="372" spans="1:39" ht="12.75">
      <c r="A372" s="30"/>
      <c r="C372" s="31"/>
      <c r="D372" s="32"/>
      <c r="F372" s="31"/>
      <c r="G372" s="30"/>
      <c r="I372" s="31"/>
      <c r="AK372" s="30"/>
      <c r="AM372" s="31"/>
    </row>
    <row r="373" spans="1:39" ht="12.75">
      <c r="A373" s="30"/>
      <c r="C373" s="31"/>
      <c r="D373" s="32"/>
      <c r="F373" s="31"/>
      <c r="G373" s="30"/>
      <c r="I373" s="31"/>
      <c r="AK373" s="30"/>
      <c r="AM373" s="31"/>
    </row>
    <row r="374" spans="1:39" ht="12.75">
      <c r="A374" s="30"/>
      <c r="C374" s="31"/>
      <c r="D374" s="32"/>
      <c r="F374" s="31"/>
      <c r="G374" s="30"/>
      <c r="I374" s="31"/>
      <c r="AK374" s="30"/>
      <c r="AM374" s="31"/>
    </row>
    <row r="375" spans="1:39" ht="12.75">
      <c r="A375" s="30"/>
      <c r="C375" s="31"/>
      <c r="D375" s="32"/>
      <c r="F375" s="31"/>
      <c r="G375" s="30"/>
      <c r="I375" s="31"/>
      <c r="AK375" s="30"/>
      <c r="AM375" s="31"/>
    </row>
    <row r="376" spans="1:39" ht="12.75">
      <c r="A376" s="30"/>
      <c r="C376" s="31"/>
      <c r="D376" s="32"/>
      <c r="F376" s="31"/>
      <c r="G376" s="30"/>
      <c r="I376" s="31"/>
      <c r="AK376" s="30"/>
      <c r="AM376" s="31"/>
    </row>
    <row r="377" spans="1:39" ht="12.75">
      <c r="A377" s="30"/>
      <c r="C377" s="31"/>
      <c r="D377" s="32"/>
      <c r="F377" s="31"/>
      <c r="G377" s="30"/>
      <c r="I377" s="31"/>
      <c r="AK377" s="30"/>
      <c r="AM377" s="31"/>
    </row>
    <row r="378" spans="1:39" ht="12.75">
      <c r="A378" s="30"/>
      <c r="C378" s="31"/>
      <c r="D378" s="32"/>
      <c r="F378" s="31"/>
      <c r="G378" s="30"/>
      <c r="I378" s="31"/>
      <c r="AK378" s="30"/>
      <c r="AM378" s="31"/>
    </row>
    <row r="379" spans="1:39" ht="12.75">
      <c r="A379" s="30"/>
      <c r="C379" s="31"/>
      <c r="D379" s="32"/>
      <c r="F379" s="31"/>
      <c r="G379" s="30"/>
      <c r="I379" s="31"/>
      <c r="AK379" s="30"/>
      <c r="AM379" s="31"/>
    </row>
    <row r="380" spans="1:39" ht="12.75">
      <c r="A380" s="30"/>
      <c r="C380" s="31"/>
      <c r="D380" s="32"/>
      <c r="F380" s="31"/>
      <c r="G380" s="30"/>
      <c r="I380" s="31"/>
      <c r="AK380" s="30"/>
      <c r="AM380" s="31"/>
    </row>
    <row r="381" spans="1:39" ht="12.75">
      <c r="A381" s="30"/>
      <c r="C381" s="31"/>
      <c r="D381" s="32"/>
      <c r="F381" s="31"/>
      <c r="G381" s="30"/>
      <c r="I381" s="31"/>
      <c r="AK381" s="30"/>
      <c r="AM381" s="31"/>
    </row>
    <row r="382" spans="1:39" ht="12.75">
      <c r="A382" s="30"/>
      <c r="C382" s="31"/>
      <c r="D382" s="32"/>
      <c r="F382" s="31"/>
      <c r="G382" s="30"/>
      <c r="I382" s="31"/>
      <c r="AK382" s="30"/>
      <c r="AM382" s="31"/>
    </row>
    <row r="383" spans="1:39" ht="12.75">
      <c r="A383" s="30"/>
      <c r="C383" s="31"/>
      <c r="D383" s="32"/>
      <c r="F383" s="31"/>
      <c r="G383" s="30"/>
      <c r="I383" s="31"/>
      <c r="AK383" s="30"/>
      <c r="AM383" s="31"/>
    </row>
    <row r="384" spans="1:39" ht="12.75">
      <c r="A384" s="30"/>
      <c r="C384" s="31"/>
      <c r="D384" s="32"/>
      <c r="F384" s="31"/>
      <c r="G384" s="30"/>
      <c r="I384" s="31"/>
      <c r="AK384" s="30"/>
      <c r="AM384" s="31"/>
    </row>
    <row r="385" spans="1:39" ht="12.75">
      <c r="A385" s="30"/>
      <c r="C385" s="31"/>
      <c r="D385" s="32"/>
      <c r="F385" s="31"/>
      <c r="G385" s="30"/>
      <c r="I385" s="31"/>
      <c r="AK385" s="30"/>
      <c r="AM385" s="31"/>
    </row>
    <row r="386" spans="1:39" ht="12.75">
      <c r="A386" s="30"/>
      <c r="C386" s="31"/>
      <c r="D386" s="32"/>
      <c r="F386" s="31"/>
      <c r="G386" s="30"/>
      <c r="I386" s="31"/>
      <c r="AK386" s="30"/>
      <c r="AM386" s="31"/>
    </row>
    <row r="387" spans="1:39" ht="12.75">
      <c r="A387" s="30"/>
      <c r="C387" s="31"/>
      <c r="D387" s="32"/>
      <c r="F387" s="31"/>
      <c r="G387" s="30"/>
      <c r="I387" s="31"/>
      <c r="AK387" s="30"/>
      <c r="AM387" s="31"/>
    </row>
    <row r="388" spans="1:39" ht="12.75">
      <c r="A388" s="30"/>
      <c r="C388" s="31"/>
      <c r="D388" s="32"/>
      <c r="F388" s="31"/>
      <c r="G388" s="30"/>
      <c r="I388" s="31"/>
      <c r="AK388" s="30"/>
      <c r="AM388" s="31"/>
    </row>
    <row r="389" spans="1:39" ht="12.75">
      <c r="A389" s="30"/>
      <c r="C389" s="31"/>
      <c r="D389" s="32"/>
      <c r="F389" s="31"/>
      <c r="G389" s="30"/>
      <c r="I389" s="31"/>
      <c r="AK389" s="30"/>
      <c r="AM389" s="31"/>
    </row>
    <row r="390" spans="1:39" ht="12.75">
      <c r="A390" s="30"/>
      <c r="C390" s="31"/>
      <c r="D390" s="32"/>
      <c r="F390" s="31"/>
      <c r="G390" s="30"/>
      <c r="I390" s="31"/>
      <c r="AK390" s="30"/>
      <c r="AM390" s="31"/>
    </row>
    <row r="391" spans="1:39" ht="12.75">
      <c r="A391" s="30"/>
      <c r="C391" s="31"/>
      <c r="D391" s="32"/>
      <c r="F391" s="31"/>
      <c r="G391" s="30"/>
      <c r="I391" s="31"/>
      <c r="AK391" s="30"/>
      <c r="AM391" s="31"/>
    </row>
    <row r="392" spans="1:39" ht="12.75">
      <c r="A392" s="30"/>
      <c r="C392" s="31"/>
      <c r="D392" s="32"/>
      <c r="F392" s="31"/>
      <c r="G392" s="30"/>
      <c r="I392" s="31"/>
      <c r="AK392" s="30"/>
      <c r="AM392" s="31"/>
    </row>
    <row r="393" spans="1:39" ht="12.75">
      <c r="A393" s="30"/>
      <c r="C393" s="31"/>
      <c r="D393" s="32"/>
      <c r="F393" s="31"/>
      <c r="G393" s="30"/>
      <c r="I393" s="31"/>
      <c r="AK393" s="30"/>
      <c r="AM393" s="31"/>
    </row>
    <row r="394" spans="1:39" ht="12.75">
      <c r="A394" s="30"/>
      <c r="C394" s="31"/>
      <c r="D394" s="32"/>
      <c r="F394" s="31"/>
      <c r="G394" s="30"/>
      <c r="I394" s="31"/>
      <c r="AK394" s="30"/>
      <c r="AM394" s="31"/>
    </row>
    <row r="395" spans="1:39" ht="12.75">
      <c r="A395" s="30"/>
      <c r="C395" s="31"/>
      <c r="D395" s="32"/>
      <c r="F395" s="31"/>
      <c r="G395" s="30"/>
      <c r="I395" s="31"/>
      <c r="AK395" s="30"/>
      <c r="AM395" s="31"/>
    </row>
    <row r="396" spans="1:39" ht="12.75">
      <c r="A396" s="30"/>
      <c r="C396" s="31"/>
      <c r="D396" s="32"/>
      <c r="F396" s="31"/>
      <c r="G396" s="30"/>
      <c r="I396" s="31"/>
      <c r="AK396" s="30"/>
      <c r="AM396" s="31"/>
    </row>
    <row r="397" spans="1:39" ht="12.75">
      <c r="A397" s="30"/>
      <c r="C397" s="31"/>
      <c r="D397" s="32"/>
      <c r="F397" s="31"/>
      <c r="G397" s="30"/>
      <c r="I397" s="31"/>
      <c r="AK397" s="30"/>
      <c r="AM397" s="31"/>
    </row>
    <row r="398" spans="1:39" ht="12.75">
      <c r="A398" s="30"/>
      <c r="C398" s="31"/>
      <c r="D398" s="32"/>
      <c r="F398" s="31"/>
      <c r="G398" s="30"/>
      <c r="I398" s="31"/>
      <c r="AK398" s="30"/>
      <c r="AM398" s="31"/>
    </row>
    <row r="399" spans="1:39" ht="12.75">
      <c r="A399" s="30"/>
      <c r="C399" s="31"/>
      <c r="D399" s="32"/>
      <c r="F399" s="31"/>
      <c r="G399" s="30"/>
      <c r="I399" s="31"/>
      <c r="AK399" s="30"/>
      <c r="AM399" s="31"/>
    </row>
    <row r="400" spans="1:39" ht="12.75">
      <c r="A400" s="30"/>
      <c r="C400" s="31"/>
      <c r="D400" s="32"/>
      <c r="F400" s="31"/>
      <c r="G400" s="30"/>
      <c r="I400" s="31"/>
      <c r="AK400" s="30"/>
      <c r="AM400" s="31"/>
    </row>
    <row r="401" spans="1:39" ht="12.75">
      <c r="A401" s="30"/>
      <c r="C401" s="31"/>
      <c r="D401" s="32"/>
      <c r="F401" s="31"/>
      <c r="G401" s="30"/>
      <c r="I401" s="31"/>
      <c r="AK401" s="30"/>
      <c r="AM401" s="31"/>
    </row>
    <row r="402" spans="1:39" ht="12.75">
      <c r="A402" s="30"/>
      <c r="C402" s="31"/>
      <c r="D402" s="32"/>
      <c r="F402" s="31"/>
      <c r="G402" s="30"/>
      <c r="I402" s="31"/>
      <c r="AK402" s="30"/>
      <c r="AM402" s="31"/>
    </row>
    <row r="403" spans="1:39" ht="12.75">
      <c r="A403" s="30"/>
      <c r="C403" s="31"/>
      <c r="D403" s="32"/>
      <c r="F403" s="31"/>
      <c r="G403" s="30"/>
      <c r="I403" s="31"/>
      <c r="AK403" s="30"/>
      <c r="AM403" s="31"/>
    </row>
    <row r="404" spans="1:39" ht="12.75">
      <c r="A404" s="30"/>
      <c r="C404" s="31"/>
      <c r="D404" s="32"/>
      <c r="F404" s="31"/>
      <c r="G404" s="30"/>
      <c r="I404" s="31"/>
      <c r="AK404" s="30"/>
      <c r="AM404" s="31"/>
    </row>
    <row r="405" spans="1:39" ht="12.75">
      <c r="A405" s="30"/>
      <c r="C405" s="31"/>
      <c r="D405" s="32"/>
      <c r="F405" s="31"/>
      <c r="G405" s="30"/>
      <c r="I405" s="31"/>
      <c r="AK405" s="30"/>
      <c r="AM405" s="31"/>
    </row>
    <row r="406" spans="1:39" ht="12.75">
      <c r="A406" s="30"/>
      <c r="C406" s="31"/>
      <c r="D406" s="32"/>
      <c r="F406" s="31"/>
      <c r="G406" s="30"/>
      <c r="I406" s="31"/>
      <c r="AK406" s="30"/>
      <c r="AM406" s="31"/>
    </row>
    <row r="407" spans="1:39" ht="12.75">
      <c r="A407" s="30"/>
      <c r="C407" s="31"/>
      <c r="D407" s="32"/>
      <c r="F407" s="31"/>
      <c r="G407" s="30"/>
      <c r="I407" s="31"/>
      <c r="AK407" s="30"/>
      <c r="AM407" s="31"/>
    </row>
    <row r="408" spans="1:39" ht="12.75">
      <c r="A408" s="30"/>
      <c r="C408" s="31"/>
      <c r="D408" s="32"/>
      <c r="F408" s="31"/>
      <c r="G408" s="30"/>
      <c r="I408" s="31"/>
      <c r="AK408" s="30"/>
      <c r="AM408" s="31"/>
    </row>
    <row r="409" spans="1:39" ht="12.75">
      <c r="A409" s="30"/>
      <c r="C409" s="31"/>
      <c r="D409" s="32"/>
      <c r="F409" s="31"/>
      <c r="G409" s="30"/>
      <c r="I409" s="31"/>
      <c r="AK409" s="30"/>
      <c r="AM409" s="31"/>
    </row>
    <row r="410" spans="1:39" ht="12.75">
      <c r="A410" s="30"/>
      <c r="C410" s="31"/>
      <c r="D410" s="32"/>
      <c r="F410" s="31"/>
      <c r="G410" s="30"/>
      <c r="I410" s="31"/>
      <c r="AK410" s="30"/>
      <c r="AM410" s="31"/>
    </row>
    <row r="411" spans="1:39" ht="12.75">
      <c r="A411" s="30"/>
      <c r="C411" s="31"/>
      <c r="D411" s="32"/>
      <c r="F411" s="31"/>
      <c r="G411" s="30"/>
      <c r="I411" s="31"/>
      <c r="AK411" s="30"/>
      <c r="AM411" s="31"/>
    </row>
    <row r="412" spans="1:39" ht="12.75">
      <c r="A412" s="30"/>
      <c r="C412" s="31"/>
      <c r="D412" s="32"/>
      <c r="F412" s="31"/>
      <c r="G412" s="30"/>
      <c r="I412" s="31"/>
      <c r="AK412" s="30"/>
      <c r="AM412" s="31"/>
    </row>
    <row r="413" spans="1:39" ht="12.75">
      <c r="A413" s="30"/>
      <c r="C413" s="31"/>
      <c r="D413" s="32"/>
      <c r="F413" s="31"/>
      <c r="G413" s="30"/>
      <c r="I413" s="31"/>
      <c r="AK413" s="30"/>
      <c r="AM413" s="31"/>
    </row>
    <row r="414" spans="1:39" ht="12.75">
      <c r="A414" s="30"/>
      <c r="C414" s="31"/>
      <c r="D414" s="32"/>
      <c r="F414" s="31"/>
      <c r="G414" s="30"/>
      <c r="I414" s="31"/>
      <c r="AK414" s="30"/>
      <c r="AM414" s="31"/>
    </row>
    <row r="415" spans="1:39" ht="12.75">
      <c r="A415" s="30"/>
      <c r="C415" s="31"/>
      <c r="D415" s="32"/>
      <c r="F415" s="31"/>
      <c r="G415" s="30"/>
      <c r="I415" s="31"/>
      <c r="AK415" s="30"/>
      <c r="AM415" s="31"/>
    </row>
    <row r="416" spans="1:39" ht="12.75">
      <c r="A416" s="30"/>
      <c r="C416" s="31"/>
      <c r="D416" s="32"/>
      <c r="F416" s="31"/>
      <c r="G416" s="30"/>
      <c r="I416" s="31"/>
      <c r="AK416" s="30"/>
      <c r="AM416" s="31"/>
    </row>
    <row r="417" spans="1:39" ht="12.75">
      <c r="A417" s="30"/>
      <c r="C417" s="31"/>
      <c r="D417" s="32"/>
      <c r="F417" s="31"/>
      <c r="G417" s="30"/>
      <c r="I417" s="31"/>
      <c r="AK417" s="30"/>
      <c r="AM417" s="31"/>
    </row>
    <row r="418" spans="1:39" ht="12.75">
      <c r="A418" s="30"/>
      <c r="C418" s="31"/>
      <c r="D418" s="32"/>
      <c r="F418" s="31"/>
      <c r="G418" s="30"/>
      <c r="I418" s="31"/>
      <c r="AK418" s="30"/>
      <c r="AM418" s="31"/>
    </row>
    <row r="419" spans="1:39" ht="12.75">
      <c r="A419" s="30"/>
      <c r="C419" s="31"/>
      <c r="D419" s="32"/>
      <c r="F419" s="31"/>
      <c r="G419" s="30"/>
      <c r="I419" s="31"/>
      <c r="AK419" s="30"/>
      <c r="AM419" s="31"/>
    </row>
    <row r="420" spans="1:39" ht="12.75">
      <c r="A420" s="30"/>
      <c r="C420" s="31"/>
      <c r="D420" s="32"/>
      <c r="F420" s="31"/>
      <c r="G420" s="30"/>
      <c r="I420" s="31"/>
      <c r="AK420" s="30"/>
      <c r="AM420" s="31"/>
    </row>
    <row r="421" spans="1:39" ht="12.75">
      <c r="A421" s="30"/>
      <c r="C421" s="31"/>
      <c r="D421" s="32"/>
      <c r="F421" s="31"/>
      <c r="G421" s="30"/>
      <c r="I421" s="31"/>
      <c r="AK421" s="30"/>
      <c r="AM421" s="31"/>
    </row>
    <row r="422" spans="1:39" ht="12.75">
      <c r="A422" s="30"/>
      <c r="C422" s="31"/>
      <c r="D422" s="32"/>
      <c r="F422" s="31"/>
      <c r="G422" s="30"/>
      <c r="I422" s="31"/>
      <c r="AK422" s="30"/>
      <c r="AM422" s="31"/>
    </row>
    <row r="423" spans="1:39" ht="12.75">
      <c r="A423" s="30"/>
      <c r="C423" s="31"/>
      <c r="D423" s="32"/>
      <c r="F423" s="31"/>
      <c r="G423" s="30"/>
      <c r="I423" s="31"/>
      <c r="AK423" s="30"/>
      <c r="AM423" s="31"/>
    </row>
    <row r="424" spans="1:39" ht="12.75">
      <c r="A424" s="30"/>
      <c r="C424" s="31"/>
      <c r="D424" s="32"/>
      <c r="F424" s="31"/>
      <c r="G424" s="30"/>
      <c r="I424" s="31"/>
      <c r="AK424" s="30"/>
      <c r="AM424" s="31"/>
    </row>
    <row r="425" spans="1:39" ht="12.75">
      <c r="A425" s="30"/>
      <c r="C425" s="31"/>
      <c r="D425" s="32"/>
      <c r="F425" s="31"/>
      <c r="G425" s="30"/>
      <c r="I425" s="31"/>
      <c r="AK425" s="30"/>
      <c r="AM425" s="31"/>
    </row>
    <row r="426" spans="1:39" ht="12.75">
      <c r="A426" s="30"/>
      <c r="C426" s="31"/>
      <c r="D426" s="32"/>
      <c r="F426" s="31"/>
      <c r="G426" s="30"/>
      <c r="I426" s="31"/>
      <c r="AK426" s="30"/>
      <c r="AM426" s="31"/>
    </row>
    <row r="427" spans="1:39" ht="12.75">
      <c r="A427" s="30"/>
      <c r="C427" s="31"/>
      <c r="D427" s="32"/>
      <c r="F427" s="31"/>
      <c r="G427" s="30"/>
      <c r="I427" s="31"/>
      <c r="AK427" s="30"/>
      <c r="AM427" s="31"/>
    </row>
    <row r="428" spans="1:39" ht="12.75">
      <c r="A428" s="30"/>
      <c r="C428" s="31"/>
      <c r="D428" s="32"/>
      <c r="F428" s="31"/>
      <c r="G428" s="30"/>
      <c r="I428" s="31"/>
      <c r="AK428" s="30"/>
      <c r="AM428" s="31"/>
    </row>
    <row r="429" spans="1:39" ht="12.75">
      <c r="A429" s="30"/>
      <c r="C429" s="31"/>
      <c r="D429" s="32"/>
      <c r="F429" s="31"/>
      <c r="G429" s="30"/>
      <c r="I429" s="31"/>
      <c r="AK429" s="30"/>
      <c r="AM429" s="31"/>
    </row>
    <row r="430" spans="1:39" ht="12.75">
      <c r="A430" s="30"/>
      <c r="C430" s="31"/>
      <c r="D430" s="32"/>
      <c r="F430" s="31"/>
      <c r="G430" s="30"/>
      <c r="I430" s="31"/>
      <c r="AK430" s="30"/>
      <c r="AM430" s="31"/>
    </row>
    <row r="431" spans="1:39" ht="12.75">
      <c r="A431" s="30"/>
      <c r="C431" s="31"/>
      <c r="D431" s="32"/>
      <c r="F431" s="31"/>
      <c r="G431" s="30"/>
      <c r="I431" s="31"/>
      <c r="AK431" s="30"/>
      <c r="AM431" s="31"/>
    </row>
    <row r="432" spans="1:39" ht="12.75">
      <c r="A432" s="30"/>
      <c r="C432" s="31"/>
      <c r="D432" s="32"/>
      <c r="F432" s="31"/>
      <c r="G432" s="30"/>
      <c r="I432" s="31"/>
      <c r="AK432" s="30"/>
      <c r="AM432" s="31"/>
    </row>
    <row r="433" spans="1:39" ht="12.75">
      <c r="A433" s="30"/>
      <c r="C433" s="31"/>
      <c r="D433" s="32"/>
      <c r="F433" s="31"/>
      <c r="G433" s="30"/>
      <c r="I433" s="31"/>
      <c r="AK433" s="30"/>
      <c r="AM433" s="31"/>
    </row>
    <row r="434" spans="1:39" ht="12.75">
      <c r="A434" s="30"/>
      <c r="C434" s="31"/>
      <c r="D434" s="32"/>
      <c r="F434" s="31"/>
      <c r="G434" s="30"/>
      <c r="I434" s="31"/>
      <c r="AK434" s="30"/>
      <c r="AM434" s="31"/>
    </row>
    <row r="435" spans="1:39" ht="12.75">
      <c r="A435" s="30"/>
      <c r="C435" s="31"/>
      <c r="D435" s="32"/>
      <c r="F435" s="31"/>
      <c r="G435" s="30"/>
      <c r="I435" s="31"/>
      <c r="AK435" s="30"/>
      <c r="AM435" s="31"/>
    </row>
    <row r="436" spans="1:39" ht="12.75">
      <c r="A436" s="30"/>
      <c r="C436" s="31"/>
      <c r="D436" s="32"/>
      <c r="F436" s="31"/>
      <c r="G436" s="30"/>
      <c r="I436" s="31"/>
      <c r="AK436" s="30"/>
      <c r="AM436" s="31"/>
    </row>
    <row r="437" spans="1:39" ht="12.75">
      <c r="A437" s="30"/>
      <c r="C437" s="31"/>
      <c r="D437" s="32"/>
      <c r="F437" s="31"/>
      <c r="G437" s="30"/>
      <c r="I437" s="31"/>
      <c r="AK437" s="30"/>
      <c r="AM437" s="31"/>
    </row>
    <row r="438" spans="1:39" ht="12.75">
      <c r="A438" s="30"/>
      <c r="C438" s="31"/>
      <c r="D438" s="32"/>
      <c r="F438" s="31"/>
      <c r="G438" s="30"/>
      <c r="I438" s="31"/>
      <c r="AK438" s="30"/>
      <c r="AM438" s="31"/>
    </row>
    <row r="439" spans="1:39" ht="12.75">
      <c r="A439" s="30"/>
      <c r="C439" s="31"/>
      <c r="D439" s="32"/>
      <c r="F439" s="31"/>
      <c r="G439" s="30"/>
      <c r="I439" s="31"/>
      <c r="AK439" s="30"/>
      <c r="AM439" s="31"/>
    </row>
    <row r="440" spans="1:39" ht="12.75">
      <c r="A440" s="30"/>
      <c r="C440" s="31"/>
      <c r="D440" s="32"/>
      <c r="F440" s="31"/>
      <c r="G440" s="30"/>
      <c r="I440" s="31"/>
      <c r="AK440" s="30"/>
      <c r="AM440" s="31"/>
    </row>
    <row r="441" spans="1:39" ht="12.75">
      <c r="A441" s="30"/>
      <c r="C441" s="31"/>
      <c r="D441" s="32"/>
      <c r="F441" s="31"/>
      <c r="G441" s="30"/>
      <c r="I441" s="31"/>
      <c r="AK441" s="30"/>
      <c r="AM441" s="31"/>
    </row>
    <row r="442" spans="1:39" ht="12.75">
      <c r="A442" s="30"/>
      <c r="C442" s="31"/>
      <c r="D442" s="32"/>
      <c r="F442" s="31"/>
      <c r="G442" s="30"/>
      <c r="I442" s="31"/>
      <c r="AK442" s="30"/>
      <c r="AM442" s="31"/>
    </row>
    <row r="443" spans="1:39" ht="12.75">
      <c r="A443" s="30"/>
      <c r="C443" s="31"/>
      <c r="D443" s="32"/>
      <c r="F443" s="31"/>
      <c r="G443" s="30"/>
      <c r="I443" s="31"/>
      <c r="AK443" s="30"/>
      <c r="AM443" s="31"/>
    </row>
    <row r="444" spans="1:39" ht="12.75">
      <c r="A444" s="30"/>
      <c r="C444" s="31"/>
      <c r="D444" s="32"/>
      <c r="F444" s="31"/>
      <c r="G444" s="30"/>
      <c r="I444" s="31"/>
      <c r="AK444" s="30"/>
      <c r="AM444" s="31"/>
    </row>
    <row r="445" spans="1:39" ht="12.75">
      <c r="A445" s="30"/>
      <c r="C445" s="31"/>
      <c r="D445" s="32"/>
      <c r="F445" s="31"/>
      <c r="G445" s="30"/>
      <c r="I445" s="31"/>
      <c r="AK445" s="30"/>
      <c r="AM445" s="31"/>
    </row>
    <row r="446" spans="1:39" ht="12.75">
      <c r="A446" s="30"/>
      <c r="C446" s="31"/>
      <c r="D446" s="32"/>
      <c r="F446" s="31"/>
      <c r="G446" s="30"/>
      <c r="I446" s="31"/>
      <c r="AK446" s="30"/>
      <c r="AM446" s="31"/>
    </row>
    <row r="447" spans="1:39" ht="12.75">
      <c r="A447" s="30"/>
      <c r="C447" s="31"/>
      <c r="D447" s="32"/>
      <c r="F447" s="31"/>
      <c r="G447" s="30"/>
      <c r="I447" s="31"/>
      <c r="AK447" s="30"/>
      <c r="AM447" s="31"/>
    </row>
    <row r="448" spans="1:39" ht="12.75">
      <c r="A448" s="30"/>
      <c r="C448" s="31"/>
      <c r="D448" s="32"/>
      <c r="F448" s="31"/>
      <c r="G448" s="30"/>
      <c r="I448" s="31"/>
      <c r="AK448" s="30"/>
      <c r="AM448" s="31"/>
    </row>
    <row r="449" spans="1:39" ht="12.75">
      <c r="A449" s="30"/>
      <c r="C449" s="31"/>
      <c r="D449" s="32"/>
      <c r="F449" s="31"/>
      <c r="G449" s="30"/>
      <c r="I449" s="31"/>
      <c r="AK449" s="30"/>
      <c r="AM449" s="31"/>
    </row>
    <row r="450" spans="1:39" ht="12.75">
      <c r="A450" s="30"/>
      <c r="C450" s="31"/>
      <c r="D450" s="32"/>
      <c r="F450" s="31"/>
      <c r="G450" s="30"/>
      <c r="I450" s="31"/>
      <c r="AK450" s="30"/>
      <c r="AM450" s="31"/>
    </row>
    <row r="451" spans="1:39" ht="12.75">
      <c r="A451" s="30"/>
      <c r="C451" s="31"/>
      <c r="D451" s="32"/>
      <c r="F451" s="31"/>
      <c r="G451" s="30"/>
      <c r="I451" s="31"/>
      <c r="AK451" s="30"/>
      <c r="AM451" s="31"/>
    </row>
    <row r="452" spans="1:39" ht="12.75">
      <c r="A452" s="30"/>
      <c r="C452" s="31"/>
      <c r="D452" s="32"/>
      <c r="F452" s="31"/>
      <c r="G452" s="30"/>
      <c r="I452" s="31"/>
      <c r="AK452" s="30"/>
      <c r="AM452" s="31"/>
    </row>
    <row r="453" spans="1:39" ht="12.75">
      <c r="A453" s="30"/>
      <c r="C453" s="31"/>
      <c r="D453" s="32"/>
      <c r="F453" s="31"/>
      <c r="G453" s="30"/>
      <c r="I453" s="31"/>
      <c r="AK453" s="30"/>
      <c r="AM453" s="31"/>
    </row>
    <row r="454" spans="1:39" ht="12.75">
      <c r="A454" s="30"/>
      <c r="C454" s="31"/>
      <c r="D454" s="32"/>
      <c r="F454" s="31"/>
      <c r="G454" s="30"/>
      <c r="I454" s="31"/>
      <c r="AK454" s="30"/>
      <c r="AM454" s="31"/>
    </row>
    <row r="455" spans="1:39" ht="12.75">
      <c r="A455" s="30"/>
      <c r="C455" s="31"/>
      <c r="D455" s="32"/>
      <c r="F455" s="31"/>
      <c r="G455" s="30"/>
      <c r="I455" s="31"/>
      <c r="AK455" s="30"/>
      <c r="AM455" s="31"/>
    </row>
    <row r="456" spans="1:39" ht="12.75">
      <c r="A456" s="30"/>
      <c r="C456" s="31"/>
      <c r="D456" s="32"/>
      <c r="F456" s="31"/>
      <c r="G456" s="30"/>
      <c r="I456" s="31"/>
      <c r="AK456" s="30"/>
      <c r="AM456" s="31"/>
    </row>
    <row r="457" spans="1:39" ht="12.75">
      <c r="A457" s="30"/>
      <c r="C457" s="31"/>
      <c r="D457" s="32"/>
      <c r="F457" s="31"/>
      <c r="G457" s="30"/>
      <c r="I457" s="31"/>
      <c r="AK457" s="30"/>
      <c r="AM457" s="31"/>
    </row>
    <row r="458" spans="1:39" ht="12.75">
      <c r="A458" s="30"/>
      <c r="C458" s="31"/>
      <c r="D458" s="32"/>
      <c r="F458" s="31"/>
      <c r="G458" s="30"/>
      <c r="I458" s="31"/>
      <c r="AK458" s="30"/>
      <c r="AM458" s="31"/>
    </row>
    <row r="459" spans="1:39" ht="12.75">
      <c r="A459" s="30"/>
      <c r="C459" s="31"/>
      <c r="D459" s="32"/>
      <c r="F459" s="31"/>
      <c r="G459" s="30"/>
      <c r="I459" s="31"/>
      <c r="AK459" s="30"/>
      <c r="AM459" s="31"/>
    </row>
    <row r="460" spans="1:39" ht="12.75">
      <c r="A460" s="30"/>
      <c r="C460" s="31"/>
      <c r="D460" s="32"/>
      <c r="F460" s="31"/>
      <c r="G460" s="30"/>
      <c r="I460" s="31"/>
      <c r="AK460" s="30"/>
      <c r="AM460" s="31"/>
    </row>
    <row r="461" spans="1:39" ht="12.75">
      <c r="A461" s="30"/>
      <c r="C461" s="31"/>
      <c r="D461" s="32"/>
      <c r="F461" s="31"/>
      <c r="G461" s="30"/>
      <c r="I461" s="31"/>
      <c r="AK461" s="30"/>
      <c r="AM461" s="31"/>
    </row>
    <row r="462" spans="1:39" ht="12.75">
      <c r="A462" s="30"/>
      <c r="C462" s="31"/>
      <c r="D462" s="32"/>
      <c r="F462" s="31"/>
      <c r="G462" s="30"/>
      <c r="I462" s="31"/>
      <c r="AK462" s="30"/>
      <c r="AM462" s="31"/>
    </row>
    <row r="463" spans="1:39" ht="12.75">
      <c r="A463" s="30"/>
      <c r="C463" s="31"/>
      <c r="D463" s="32"/>
      <c r="F463" s="31"/>
      <c r="G463" s="30"/>
      <c r="I463" s="31"/>
      <c r="AK463" s="30"/>
      <c r="AM463" s="31"/>
    </row>
    <row r="464" spans="1:39" ht="12.75">
      <c r="A464" s="30"/>
      <c r="C464" s="31"/>
      <c r="D464" s="32"/>
      <c r="F464" s="31"/>
      <c r="G464" s="30"/>
      <c r="I464" s="31"/>
      <c r="AK464" s="30"/>
      <c r="AM464" s="31"/>
    </row>
    <row r="465" spans="1:39" ht="12.75">
      <c r="A465" s="30"/>
      <c r="C465" s="31"/>
      <c r="D465" s="32"/>
      <c r="F465" s="31"/>
      <c r="G465" s="30"/>
      <c r="I465" s="31"/>
      <c r="AK465" s="30"/>
      <c r="AM465" s="31"/>
    </row>
    <row r="466" spans="1:39" ht="12.75">
      <c r="A466" s="30"/>
      <c r="C466" s="31"/>
      <c r="D466" s="32"/>
      <c r="F466" s="31"/>
      <c r="G466" s="30"/>
      <c r="I466" s="31"/>
      <c r="AK466" s="30"/>
      <c r="AM466" s="31"/>
    </row>
    <row r="467" spans="1:39" ht="12.75">
      <c r="A467" s="30"/>
      <c r="C467" s="31"/>
      <c r="D467" s="32"/>
      <c r="F467" s="31"/>
      <c r="G467" s="30"/>
      <c r="I467" s="31"/>
      <c r="AK467" s="30"/>
      <c r="AM467" s="31"/>
    </row>
    <row r="468" spans="1:39" ht="12.75">
      <c r="A468" s="30"/>
      <c r="C468" s="31"/>
      <c r="D468" s="32"/>
      <c r="F468" s="31"/>
      <c r="G468" s="30"/>
      <c r="I468" s="31"/>
      <c r="AK468" s="30"/>
      <c r="AM468" s="31"/>
    </row>
    <row r="469" spans="1:39" ht="12.75">
      <c r="A469" s="30"/>
      <c r="C469" s="31"/>
      <c r="D469" s="32"/>
      <c r="F469" s="31"/>
      <c r="G469" s="30"/>
      <c r="I469" s="31"/>
      <c r="AK469" s="30"/>
      <c r="AM469" s="31"/>
    </row>
    <row r="470" spans="1:39" ht="12.75">
      <c r="A470" s="30"/>
      <c r="C470" s="31"/>
      <c r="D470" s="32"/>
      <c r="F470" s="31"/>
      <c r="G470" s="30"/>
      <c r="I470" s="31"/>
      <c r="AK470" s="30"/>
      <c r="AM470" s="31"/>
    </row>
    <row r="471" spans="1:39" ht="12.75">
      <c r="A471" s="30"/>
      <c r="C471" s="31"/>
      <c r="D471" s="32"/>
      <c r="F471" s="31"/>
      <c r="G471" s="30"/>
      <c r="I471" s="31"/>
      <c r="AK471" s="30"/>
      <c r="AM471" s="31"/>
    </row>
    <row r="472" spans="1:39" ht="12.75">
      <c r="A472" s="30"/>
      <c r="C472" s="31"/>
      <c r="D472" s="32"/>
      <c r="F472" s="31"/>
      <c r="G472" s="30"/>
      <c r="I472" s="31"/>
      <c r="AK472" s="30"/>
      <c r="AM472" s="31"/>
    </row>
    <row r="473" spans="1:39" ht="12.75">
      <c r="A473" s="30"/>
      <c r="C473" s="31"/>
      <c r="D473" s="32"/>
      <c r="F473" s="31"/>
      <c r="G473" s="30"/>
      <c r="I473" s="31"/>
      <c r="AK473" s="30"/>
      <c r="AM473" s="31"/>
    </row>
    <row r="474" spans="1:39" ht="12.75">
      <c r="A474" s="30"/>
      <c r="C474" s="31"/>
      <c r="D474" s="32"/>
      <c r="F474" s="31"/>
      <c r="G474" s="30"/>
      <c r="I474" s="31"/>
      <c r="AK474" s="30"/>
      <c r="AM474" s="31"/>
    </row>
    <row r="475" spans="1:39" ht="12.75">
      <c r="A475" s="30"/>
      <c r="C475" s="31"/>
      <c r="D475" s="32"/>
      <c r="F475" s="31"/>
      <c r="G475" s="30"/>
      <c r="I475" s="31"/>
      <c r="AK475" s="30"/>
      <c r="AM475" s="31"/>
    </row>
    <row r="476" spans="1:39" ht="12.75">
      <c r="A476" s="30"/>
      <c r="C476" s="31"/>
      <c r="D476" s="32"/>
      <c r="F476" s="31"/>
      <c r="G476" s="30"/>
      <c r="I476" s="31"/>
      <c r="AK476" s="30"/>
      <c r="AM476" s="31"/>
    </row>
    <row r="477" spans="1:39" ht="12.75">
      <c r="A477" s="30"/>
      <c r="C477" s="31"/>
      <c r="D477" s="32"/>
      <c r="F477" s="31"/>
      <c r="G477" s="30"/>
      <c r="I477" s="31"/>
      <c r="AK477" s="30"/>
      <c r="AM477" s="31"/>
    </row>
    <row r="478" spans="1:39" ht="12.75">
      <c r="A478" s="30"/>
      <c r="C478" s="31"/>
      <c r="D478" s="32"/>
      <c r="F478" s="31"/>
      <c r="G478" s="30"/>
      <c r="I478" s="31"/>
      <c r="AK478" s="30"/>
      <c r="AM478" s="31"/>
    </row>
    <row r="479" spans="1:39" ht="12.75">
      <c r="A479" s="30"/>
      <c r="C479" s="31"/>
      <c r="D479" s="32"/>
      <c r="F479" s="31"/>
      <c r="G479" s="30"/>
      <c r="I479" s="31"/>
      <c r="AK479" s="30"/>
      <c r="AM479" s="31"/>
    </row>
    <row r="480" spans="1:39" ht="12.75">
      <c r="A480" s="30"/>
      <c r="C480" s="31"/>
      <c r="D480" s="32"/>
      <c r="F480" s="31"/>
      <c r="G480" s="30"/>
      <c r="I480" s="31"/>
      <c r="AK480" s="30"/>
      <c r="AM480" s="31"/>
    </row>
    <row r="481" spans="1:39" ht="12.75">
      <c r="A481" s="30"/>
      <c r="C481" s="31"/>
      <c r="D481" s="32"/>
      <c r="F481" s="31"/>
      <c r="G481" s="30"/>
      <c r="I481" s="31"/>
      <c r="AK481" s="30"/>
      <c r="AM481" s="31"/>
    </row>
    <row r="482" spans="1:39" ht="12.75">
      <c r="A482" s="30"/>
      <c r="C482" s="31"/>
      <c r="D482" s="32"/>
      <c r="F482" s="31"/>
      <c r="G482" s="30"/>
      <c r="I482" s="31"/>
      <c r="AK482" s="30"/>
      <c r="AM482" s="31"/>
    </row>
    <row r="483" spans="1:39" ht="12.75">
      <c r="A483" s="30"/>
      <c r="C483" s="31"/>
      <c r="D483" s="32"/>
      <c r="F483" s="31"/>
      <c r="G483" s="30"/>
      <c r="I483" s="31"/>
      <c r="AK483" s="30"/>
      <c r="AM483" s="31"/>
    </row>
    <row r="484" spans="1:39" ht="12.75">
      <c r="A484" s="30"/>
      <c r="C484" s="31"/>
      <c r="D484" s="32"/>
      <c r="F484" s="31"/>
      <c r="G484" s="30"/>
      <c r="I484" s="31"/>
      <c r="AK484" s="30"/>
      <c r="AM484" s="31"/>
    </row>
    <row r="485" spans="1:39" ht="12.75">
      <c r="A485" s="30"/>
      <c r="C485" s="31"/>
      <c r="D485" s="32"/>
      <c r="F485" s="31"/>
      <c r="G485" s="30"/>
      <c r="I485" s="31"/>
      <c r="AK485" s="30"/>
      <c r="AM485" s="31"/>
    </row>
    <row r="486" spans="1:39" ht="12.75">
      <c r="A486" s="30"/>
      <c r="C486" s="31"/>
      <c r="D486" s="32"/>
      <c r="F486" s="31"/>
      <c r="G486" s="30"/>
      <c r="I486" s="31"/>
      <c r="AK486" s="30"/>
      <c r="AM486" s="31"/>
    </row>
    <row r="487" spans="1:39" ht="12.75">
      <c r="A487" s="30"/>
      <c r="C487" s="31"/>
      <c r="D487" s="32"/>
      <c r="F487" s="31"/>
      <c r="G487" s="30"/>
      <c r="I487" s="31"/>
      <c r="AK487" s="30"/>
      <c r="AM487" s="31"/>
    </row>
    <row r="488" spans="1:39" ht="12.75">
      <c r="A488" s="30"/>
      <c r="C488" s="31"/>
      <c r="D488" s="32"/>
      <c r="F488" s="31"/>
      <c r="G488" s="30"/>
      <c r="I488" s="31"/>
      <c r="AK488" s="30"/>
      <c r="AM488" s="31"/>
    </row>
    <row r="489" spans="1:39" ht="12.75">
      <c r="A489" s="30"/>
      <c r="C489" s="31"/>
      <c r="D489" s="32"/>
      <c r="F489" s="31"/>
      <c r="G489" s="30"/>
      <c r="I489" s="31"/>
      <c r="AK489" s="30"/>
      <c r="AM489" s="31"/>
    </row>
    <row r="490" spans="1:39" ht="12.75">
      <c r="A490" s="30"/>
      <c r="C490" s="31"/>
      <c r="D490" s="32"/>
      <c r="F490" s="31"/>
      <c r="G490" s="30"/>
      <c r="I490" s="31"/>
      <c r="AK490" s="30"/>
      <c r="AM490" s="31"/>
    </row>
    <row r="491" spans="1:39" ht="12.75">
      <c r="A491" s="30"/>
      <c r="C491" s="31"/>
      <c r="D491" s="32"/>
      <c r="F491" s="31"/>
      <c r="G491" s="30"/>
      <c r="I491" s="31"/>
      <c r="AK491" s="30"/>
      <c r="AM491" s="31"/>
    </row>
    <row r="492" spans="1:39" ht="12.75">
      <c r="A492" s="30"/>
      <c r="C492" s="31"/>
      <c r="D492" s="32"/>
      <c r="F492" s="31"/>
      <c r="G492" s="30"/>
      <c r="I492" s="31"/>
      <c r="AK492" s="30"/>
      <c r="AM492" s="31"/>
    </row>
    <row r="493" spans="1:39" ht="12.75">
      <c r="A493" s="30"/>
      <c r="C493" s="31"/>
      <c r="D493" s="32"/>
      <c r="F493" s="31"/>
      <c r="G493" s="30"/>
      <c r="I493" s="31"/>
      <c r="AK493" s="30"/>
      <c r="AM493" s="31"/>
    </row>
    <row r="494" spans="1:39" ht="12.75">
      <c r="A494" s="30"/>
      <c r="C494" s="31"/>
      <c r="D494" s="32"/>
      <c r="F494" s="31"/>
      <c r="G494" s="30"/>
      <c r="I494" s="31"/>
      <c r="AK494" s="30"/>
      <c r="AM494" s="31"/>
    </row>
    <row r="495" spans="1:39" ht="12.75">
      <c r="A495" s="30"/>
      <c r="C495" s="31"/>
      <c r="D495" s="32"/>
      <c r="F495" s="31"/>
      <c r="G495" s="30"/>
      <c r="I495" s="31"/>
      <c r="AK495" s="30"/>
      <c r="AM495" s="31"/>
    </row>
    <row r="496" spans="1:39" ht="12.75">
      <c r="A496" s="30"/>
      <c r="C496" s="31"/>
      <c r="D496" s="32"/>
      <c r="F496" s="31"/>
      <c r="G496" s="30"/>
      <c r="I496" s="31"/>
      <c r="AK496" s="30"/>
      <c r="AM496" s="31"/>
    </row>
    <row r="497" spans="1:39" ht="12.75">
      <c r="A497" s="30"/>
      <c r="C497" s="31"/>
      <c r="D497" s="32"/>
      <c r="F497" s="31"/>
      <c r="G497" s="30"/>
      <c r="I497" s="31"/>
      <c r="AK497" s="30"/>
      <c r="AM497" s="31"/>
    </row>
    <row r="498" spans="1:39" ht="12.75">
      <c r="A498" s="30"/>
      <c r="C498" s="31"/>
      <c r="D498" s="32"/>
      <c r="F498" s="31"/>
      <c r="G498" s="30"/>
      <c r="I498" s="31"/>
      <c r="AK498" s="30"/>
      <c r="AM498" s="31"/>
    </row>
    <row r="499" spans="1:39" ht="12.75">
      <c r="A499" s="30"/>
      <c r="C499" s="31"/>
      <c r="D499" s="32"/>
      <c r="F499" s="31"/>
      <c r="G499" s="30"/>
      <c r="I499" s="31"/>
      <c r="AK499" s="30"/>
      <c r="AM499" s="31"/>
    </row>
    <row r="500" spans="1:39" ht="12.75">
      <c r="A500" s="30"/>
      <c r="C500" s="31"/>
      <c r="D500" s="32"/>
      <c r="F500" s="31"/>
      <c r="G500" s="30"/>
      <c r="I500" s="31"/>
      <c r="AK500" s="30"/>
      <c r="AM500" s="31"/>
    </row>
    <row r="501" spans="1:39" ht="12.75">
      <c r="A501" s="30"/>
      <c r="C501" s="31"/>
      <c r="D501" s="32"/>
      <c r="F501" s="31"/>
      <c r="G501" s="30"/>
      <c r="I501" s="31"/>
      <c r="AK501" s="30"/>
      <c r="AM501" s="31"/>
    </row>
    <row r="502" spans="1:39" ht="12.75">
      <c r="A502" s="30"/>
      <c r="C502" s="31"/>
      <c r="D502" s="32"/>
      <c r="F502" s="31"/>
      <c r="G502" s="30"/>
      <c r="I502" s="31"/>
      <c r="AK502" s="30"/>
      <c r="AM502" s="31"/>
    </row>
    <row r="503" spans="1:39" ht="12.75">
      <c r="A503" s="30"/>
      <c r="C503" s="31"/>
      <c r="D503" s="32"/>
      <c r="F503" s="31"/>
      <c r="G503" s="30"/>
      <c r="I503" s="31"/>
      <c r="AK503" s="30"/>
      <c r="AM503" s="31"/>
    </row>
    <row r="504" spans="1:39" ht="12.75">
      <c r="A504" s="30"/>
      <c r="C504" s="31"/>
      <c r="D504" s="32"/>
      <c r="F504" s="31"/>
      <c r="G504" s="30"/>
      <c r="I504" s="31"/>
      <c r="AK504" s="30"/>
      <c r="AM504" s="31"/>
    </row>
    <row r="505" spans="1:39" ht="12.75">
      <c r="A505" s="30"/>
      <c r="C505" s="31"/>
      <c r="D505" s="32"/>
      <c r="F505" s="31"/>
      <c r="G505" s="30"/>
      <c r="I505" s="31"/>
      <c r="AK505" s="30"/>
      <c r="AM505" s="31"/>
    </row>
    <row r="506" spans="1:39" ht="12.75">
      <c r="A506" s="30"/>
      <c r="C506" s="31"/>
      <c r="D506" s="32"/>
      <c r="F506" s="31"/>
      <c r="G506" s="30"/>
      <c r="I506" s="31"/>
      <c r="AK506" s="30"/>
      <c r="AM506" s="31"/>
    </row>
    <row r="507" spans="1:39" ht="12.75">
      <c r="A507" s="30"/>
      <c r="C507" s="31"/>
      <c r="D507" s="32"/>
      <c r="F507" s="31"/>
      <c r="G507" s="30"/>
      <c r="I507" s="31"/>
      <c r="AK507" s="30"/>
      <c r="AM507" s="31"/>
    </row>
    <row r="508" spans="1:39" ht="12.75">
      <c r="A508" s="30"/>
      <c r="C508" s="31"/>
      <c r="D508" s="32"/>
      <c r="F508" s="31"/>
      <c r="G508" s="30"/>
      <c r="I508" s="31"/>
      <c r="AK508" s="30"/>
      <c r="AM508" s="31"/>
    </row>
    <row r="509" spans="1:39" ht="12.75">
      <c r="A509" s="30"/>
      <c r="C509" s="31"/>
      <c r="D509" s="32"/>
      <c r="F509" s="31"/>
      <c r="G509" s="30"/>
      <c r="I509" s="31"/>
      <c r="AK509" s="30"/>
      <c r="AM509" s="31"/>
    </row>
    <row r="510" spans="1:39" ht="12.75">
      <c r="A510" s="30"/>
      <c r="C510" s="31"/>
      <c r="D510" s="32"/>
      <c r="F510" s="31"/>
      <c r="G510" s="30"/>
      <c r="I510" s="31"/>
      <c r="AK510" s="30"/>
      <c r="AM510" s="31"/>
    </row>
    <row r="511" spans="1:39" ht="12.75">
      <c r="A511" s="30"/>
      <c r="C511" s="31"/>
      <c r="D511" s="32"/>
      <c r="F511" s="31"/>
      <c r="G511" s="30"/>
      <c r="I511" s="31"/>
      <c r="AK511" s="30"/>
      <c r="AM511" s="31"/>
    </row>
    <row r="512" spans="1:39" ht="12.75">
      <c r="A512" s="30"/>
      <c r="C512" s="31"/>
      <c r="D512" s="32"/>
      <c r="F512" s="31"/>
      <c r="G512" s="30"/>
      <c r="I512" s="31"/>
      <c r="AK512" s="30"/>
      <c r="AM512" s="31"/>
    </row>
    <row r="513" spans="1:39" ht="12.75">
      <c r="A513" s="30"/>
      <c r="C513" s="31"/>
      <c r="D513" s="32"/>
      <c r="F513" s="31"/>
      <c r="G513" s="30"/>
      <c r="I513" s="31"/>
      <c r="AK513" s="30"/>
      <c r="AM513" s="31"/>
    </row>
    <row r="514" spans="1:39" ht="12.75">
      <c r="A514" s="30"/>
      <c r="C514" s="31"/>
      <c r="D514" s="32"/>
      <c r="F514" s="31"/>
      <c r="G514" s="30"/>
      <c r="I514" s="31"/>
      <c r="AK514" s="30"/>
      <c r="AM514" s="31"/>
    </row>
    <row r="515" spans="1:39" ht="12.75">
      <c r="A515" s="30"/>
      <c r="C515" s="31"/>
      <c r="D515" s="32"/>
      <c r="F515" s="31"/>
      <c r="G515" s="30"/>
      <c r="I515" s="31"/>
      <c r="AK515" s="30"/>
      <c r="AM515" s="31"/>
    </row>
    <row r="516" spans="1:39" ht="12.75">
      <c r="A516" s="30"/>
      <c r="C516" s="31"/>
      <c r="D516" s="32"/>
      <c r="F516" s="31"/>
      <c r="G516" s="30"/>
      <c r="I516" s="31"/>
      <c r="AK516" s="30"/>
      <c r="AM516" s="31"/>
    </row>
    <row r="517" spans="1:39" ht="12.75">
      <c r="A517" s="30"/>
      <c r="C517" s="31"/>
      <c r="D517" s="32"/>
      <c r="F517" s="31"/>
      <c r="G517" s="30"/>
      <c r="I517" s="31"/>
      <c r="AK517" s="30"/>
      <c r="AM517" s="31"/>
    </row>
    <row r="518" spans="1:39" ht="12.75">
      <c r="A518" s="30"/>
      <c r="C518" s="31"/>
      <c r="D518" s="32"/>
      <c r="F518" s="31"/>
      <c r="G518" s="30"/>
      <c r="I518" s="31"/>
      <c r="AK518" s="30"/>
      <c r="AM518" s="31"/>
    </row>
    <row r="519" spans="1:39" ht="12.75">
      <c r="A519" s="30"/>
      <c r="C519" s="31"/>
      <c r="D519" s="32"/>
      <c r="F519" s="31"/>
      <c r="G519" s="30"/>
      <c r="I519" s="31"/>
      <c r="AK519" s="30"/>
      <c r="AM519" s="31"/>
    </row>
    <row r="520" spans="1:39" ht="12.75">
      <c r="A520" s="30"/>
      <c r="C520" s="31"/>
      <c r="D520" s="32"/>
      <c r="F520" s="31"/>
      <c r="G520" s="30"/>
      <c r="I520" s="31"/>
      <c r="AK520" s="30"/>
      <c r="AM520" s="31"/>
    </row>
    <row r="521" spans="1:39" ht="12.75">
      <c r="A521" s="30"/>
      <c r="C521" s="31"/>
      <c r="D521" s="32"/>
      <c r="F521" s="31"/>
      <c r="G521" s="30"/>
      <c r="I521" s="31"/>
      <c r="AK521" s="30"/>
      <c r="AM521" s="31"/>
    </row>
    <row r="522" spans="1:39" ht="12.75">
      <c r="A522" s="30"/>
      <c r="C522" s="31"/>
      <c r="D522" s="32"/>
      <c r="F522" s="31"/>
      <c r="G522" s="30"/>
      <c r="I522" s="31"/>
      <c r="AK522" s="30"/>
      <c r="AM522" s="31"/>
    </row>
    <row r="523" spans="1:39" ht="12.75">
      <c r="A523" s="30"/>
      <c r="C523" s="31"/>
      <c r="D523" s="32"/>
      <c r="F523" s="31"/>
      <c r="G523" s="30"/>
      <c r="I523" s="31"/>
      <c r="AK523" s="30"/>
      <c r="AM523" s="31"/>
    </row>
    <row r="524" spans="1:39" ht="12.75">
      <c r="A524" s="30"/>
      <c r="C524" s="31"/>
      <c r="D524" s="32"/>
      <c r="F524" s="31"/>
      <c r="G524" s="30"/>
      <c r="I524" s="31"/>
      <c r="AK524" s="30"/>
      <c r="AM524" s="31"/>
    </row>
    <row r="525" spans="1:39" ht="12.75">
      <c r="A525" s="30"/>
      <c r="C525" s="31"/>
      <c r="D525" s="32"/>
      <c r="F525" s="31"/>
      <c r="G525" s="30"/>
      <c r="I525" s="31"/>
      <c r="AK525" s="30"/>
      <c r="AM525" s="31"/>
    </row>
    <row r="526" spans="1:39" ht="12.75">
      <c r="A526" s="30"/>
      <c r="C526" s="31"/>
      <c r="D526" s="32"/>
      <c r="F526" s="31"/>
      <c r="G526" s="30"/>
      <c r="I526" s="31"/>
      <c r="AK526" s="30"/>
      <c r="AM526" s="31"/>
    </row>
    <row r="527" spans="1:39" ht="12.75">
      <c r="A527" s="30"/>
      <c r="C527" s="31"/>
      <c r="D527" s="32"/>
      <c r="F527" s="31"/>
      <c r="G527" s="30"/>
      <c r="I527" s="31"/>
      <c r="AK527" s="30"/>
      <c r="AM527" s="31"/>
    </row>
    <row r="528" spans="1:39" ht="12.75">
      <c r="A528" s="30"/>
      <c r="C528" s="31"/>
      <c r="D528" s="32"/>
      <c r="F528" s="31"/>
      <c r="G528" s="30"/>
      <c r="I528" s="31"/>
      <c r="AK528" s="30"/>
      <c r="AM528" s="31"/>
    </row>
    <row r="529" spans="1:39" ht="12.75">
      <c r="A529" s="30"/>
      <c r="C529" s="31"/>
      <c r="D529" s="32"/>
      <c r="F529" s="31"/>
      <c r="G529" s="30"/>
      <c r="I529" s="31"/>
      <c r="AK529" s="30"/>
      <c r="AM529" s="31"/>
    </row>
    <row r="530" spans="1:39" ht="12.75">
      <c r="A530" s="30"/>
      <c r="C530" s="31"/>
      <c r="D530" s="32"/>
      <c r="F530" s="31"/>
      <c r="G530" s="30"/>
      <c r="I530" s="31"/>
      <c r="AK530" s="30"/>
      <c r="AM530" s="31"/>
    </row>
    <row r="531" spans="1:39" ht="12.75">
      <c r="A531" s="30"/>
      <c r="C531" s="31"/>
      <c r="D531" s="32"/>
      <c r="F531" s="31"/>
      <c r="G531" s="30"/>
      <c r="I531" s="31"/>
      <c r="AK531" s="30"/>
      <c r="AM531" s="31"/>
    </row>
    <row r="532" spans="1:39" ht="12.75">
      <c r="A532" s="30"/>
      <c r="C532" s="31"/>
      <c r="D532" s="32"/>
      <c r="F532" s="31"/>
      <c r="G532" s="30"/>
      <c r="I532" s="31"/>
      <c r="AK532" s="30"/>
      <c r="AM532" s="31"/>
    </row>
    <row r="533" spans="1:39" ht="12.75">
      <c r="A533" s="30"/>
      <c r="C533" s="31"/>
      <c r="D533" s="32"/>
      <c r="F533" s="31"/>
      <c r="G533" s="30"/>
      <c r="I533" s="31"/>
      <c r="AK533" s="30"/>
      <c r="AM533" s="31"/>
    </row>
    <row r="534" spans="1:39" ht="12.75">
      <c r="A534" s="30"/>
      <c r="C534" s="31"/>
      <c r="D534" s="32"/>
      <c r="F534" s="31"/>
      <c r="G534" s="30"/>
      <c r="I534" s="31"/>
      <c r="AK534" s="30"/>
      <c r="AM534" s="31"/>
    </row>
    <row r="535" spans="1:39" ht="12.75">
      <c r="A535" s="30"/>
      <c r="C535" s="31"/>
      <c r="D535" s="32"/>
      <c r="F535" s="31"/>
      <c r="G535" s="30"/>
      <c r="I535" s="31"/>
      <c r="AK535" s="30"/>
      <c r="AM535" s="31"/>
    </row>
    <row r="536" spans="1:39" ht="12.75">
      <c r="A536" s="30"/>
      <c r="C536" s="31"/>
      <c r="D536" s="32"/>
      <c r="F536" s="31"/>
      <c r="G536" s="30"/>
      <c r="I536" s="31"/>
      <c r="AK536" s="30"/>
      <c r="AM536" s="31"/>
    </row>
    <row r="537" spans="1:39" ht="12.75">
      <c r="A537" s="30"/>
      <c r="C537" s="31"/>
      <c r="D537" s="32"/>
      <c r="F537" s="31"/>
      <c r="G537" s="30"/>
      <c r="I537" s="31"/>
      <c r="AK537" s="30"/>
      <c r="AM537" s="31"/>
    </row>
    <row r="538" spans="1:39" ht="12.75">
      <c r="A538" s="30"/>
      <c r="C538" s="31"/>
      <c r="D538" s="32"/>
      <c r="F538" s="31"/>
      <c r="G538" s="30"/>
      <c r="I538" s="31"/>
      <c r="AK538" s="30"/>
      <c r="AM538" s="31"/>
    </row>
    <row r="539" spans="1:39" ht="12.75">
      <c r="A539" s="30"/>
      <c r="C539" s="31"/>
      <c r="D539" s="32"/>
      <c r="F539" s="31"/>
      <c r="G539" s="30"/>
      <c r="I539" s="31"/>
      <c r="AK539" s="30"/>
      <c r="AM539" s="31"/>
    </row>
    <row r="540" spans="1:39" ht="12.75">
      <c r="A540" s="30"/>
      <c r="C540" s="31"/>
      <c r="D540" s="32"/>
      <c r="F540" s="31"/>
      <c r="G540" s="30"/>
      <c r="I540" s="31"/>
      <c r="AK540" s="30"/>
      <c r="AM540" s="31"/>
    </row>
    <row r="541" spans="1:39" ht="12.75">
      <c r="A541" s="30"/>
      <c r="C541" s="31"/>
      <c r="D541" s="32"/>
      <c r="F541" s="31"/>
      <c r="G541" s="30"/>
      <c r="I541" s="31"/>
      <c r="AK541" s="30"/>
      <c r="AM541" s="31"/>
    </row>
    <row r="542" spans="1:39" ht="12.75">
      <c r="A542" s="30"/>
      <c r="C542" s="31"/>
      <c r="D542" s="32"/>
      <c r="F542" s="31"/>
      <c r="G542" s="30"/>
      <c r="I542" s="31"/>
      <c r="AK542" s="30"/>
      <c r="AM542" s="31"/>
    </row>
    <row r="543" spans="1:39" ht="12.75">
      <c r="A543" s="30"/>
      <c r="C543" s="31"/>
      <c r="D543" s="32"/>
      <c r="F543" s="31"/>
      <c r="G543" s="30"/>
      <c r="I543" s="31"/>
      <c r="AK543" s="30"/>
      <c r="AM543" s="31"/>
    </row>
    <row r="544" spans="1:39" ht="12.75">
      <c r="A544" s="30"/>
      <c r="C544" s="31"/>
      <c r="D544" s="32"/>
      <c r="F544" s="31"/>
      <c r="G544" s="30"/>
      <c r="I544" s="31"/>
      <c r="AK544" s="30"/>
      <c r="AM544" s="31"/>
    </row>
    <row r="545" spans="1:39" ht="12.75">
      <c r="A545" s="30"/>
      <c r="C545" s="31"/>
      <c r="D545" s="32"/>
      <c r="F545" s="31"/>
      <c r="G545" s="30"/>
      <c r="I545" s="31"/>
      <c r="AK545" s="30"/>
      <c r="AM545" s="31"/>
    </row>
    <row r="546" spans="1:39" ht="12.75">
      <c r="A546" s="30"/>
      <c r="C546" s="31"/>
      <c r="D546" s="32"/>
      <c r="F546" s="31"/>
      <c r="G546" s="30"/>
      <c r="I546" s="31"/>
      <c r="AK546" s="30"/>
      <c r="AM546" s="31"/>
    </row>
    <row r="547" spans="1:39" ht="12.75">
      <c r="A547" s="30"/>
      <c r="C547" s="31"/>
      <c r="D547" s="32"/>
      <c r="F547" s="31"/>
      <c r="G547" s="30"/>
      <c r="I547" s="31"/>
      <c r="AK547" s="30"/>
      <c r="AM547" s="31"/>
    </row>
    <row r="548" spans="1:39" ht="12.75">
      <c r="A548" s="30"/>
      <c r="C548" s="31"/>
      <c r="D548" s="32"/>
      <c r="F548" s="31"/>
      <c r="G548" s="30"/>
      <c r="I548" s="31"/>
      <c r="AK548" s="30"/>
      <c r="AM548" s="31"/>
    </row>
    <row r="549" spans="1:39" ht="12.75">
      <c r="A549" s="30"/>
      <c r="C549" s="31"/>
      <c r="D549" s="32"/>
      <c r="F549" s="31"/>
      <c r="G549" s="30"/>
      <c r="I549" s="31"/>
      <c r="AK549" s="30"/>
      <c r="AM549" s="31"/>
    </row>
    <row r="550" spans="1:39" ht="12.75">
      <c r="A550" s="30"/>
      <c r="C550" s="31"/>
      <c r="D550" s="32"/>
      <c r="F550" s="31"/>
      <c r="G550" s="30"/>
      <c r="I550" s="31"/>
      <c r="AK550" s="30"/>
      <c r="AM550" s="31"/>
    </row>
    <row r="551" spans="1:39" ht="12.75">
      <c r="A551" s="30"/>
      <c r="C551" s="31"/>
      <c r="D551" s="32"/>
      <c r="F551" s="31"/>
      <c r="G551" s="30"/>
      <c r="I551" s="31"/>
      <c r="AK551" s="30"/>
      <c r="AM551" s="31"/>
    </row>
    <row r="552" spans="1:39" ht="12.75">
      <c r="A552" s="30"/>
      <c r="C552" s="31"/>
      <c r="D552" s="32"/>
      <c r="F552" s="31"/>
      <c r="G552" s="30"/>
      <c r="I552" s="31"/>
      <c r="AK552" s="30"/>
      <c r="AM552" s="31"/>
    </row>
    <row r="553" spans="1:39" ht="12.75">
      <c r="A553" s="30"/>
      <c r="C553" s="31"/>
      <c r="D553" s="32"/>
      <c r="F553" s="31"/>
      <c r="G553" s="30"/>
      <c r="I553" s="31"/>
      <c r="AK553" s="30"/>
      <c r="AM553" s="31"/>
    </row>
    <row r="554" spans="1:39" ht="12.75">
      <c r="A554" s="30"/>
      <c r="C554" s="31"/>
      <c r="D554" s="32"/>
      <c r="F554" s="31"/>
      <c r="G554" s="30"/>
      <c r="I554" s="31"/>
      <c r="AK554" s="30"/>
      <c r="AM554" s="31"/>
    </row>
    <row r="555" spans="1:39" ht="12.75">
      <c r="A555" s="30"/>
      <c r="C555" s="31"/>
      <c r="D555" s="32"/>
      <c r="F555" s="31"/>
      <c r="G555" s="30"/>
      <c r="I555" s="31"/>
      <c r="AK555" s="30"/>
      <c r="AM555" s="31"/>
    </row>
    <row r="556" spans="1:39" ht="12.75">
      <c r="A556" s="30"/>
      <c r="C556" s="31"/>
      <c r="D556" s="32"/>
      <c r="F556" s="31"/>
      <c r="G556" s="30"/>
      <c r="I556" s="31"/>
      <c r="AK556" s="30"/>
      <c r="AM556" s="31"/>
    </row>
    <row r="557" spans="1:39" ht="12.75">
      <c r="A557" s="30"/>
      <c r="C557" s="31"/>
      <c r="D557" s="32"/>
      <c r="F557" s="31"/>
      <c r="G557" s="30"/>
      <c r="I557" s="31"/>
      <c r="AK557" s="30"/>
      <c r="AM557" s="31"/>
    </row>
    <row r="558" spans="1:39" ht="12.75">
      <c r="A558" s="30"/>
      <c r="C558" s="31"/>
      <c r="D558" s="32"/>
      <c r="F558" s="31"/>
      <c r="G558" s="30"/>
      <c r="I558" s="31"/>
      <c r="AK558" s="30"/>
      <c r="AM558" s="31"/>
    </row>
    <row r="559" spans="1:39" ht="12.75">
      <c r="A559" s="30"/>
      <c r="C559" s="31"/>
      <c r="D559" s="32"/>
      <c r="F559" s="31"/>
      <c r="G559" s="30"/>
      <c r="I559" s="31"/>
      <c r="AK559" s="30"/>
      <c r="AM559" s="31"/>
    </row>
    <row r="560" spans="1:39" ht="12.75">
      <c r="A560" s="30"/>
      <c r="C560" s="31"/>
      <c r="D560" s="32"/>
      <c r="F560" s="31"/>
      <c r="G560" s="30"/>
      <c r="I560" s="31"/>
      <c r="AK560" s="30"/>
      <c r="AM560" s="31"/>
    </row>
    <row r="561" spans="1:39" ht="12.75">
      <c r="A561" s="30"/>
      <c r="C561" s="31"/>
      <c r="D561" s="32"/>
      <c r="F561" s="31"/>
      <c r="G561" s="30"/>
      <c r="I561" s="31"/>
      <c r="AK561" s="30"/>
      <c r="AM561" s="31"/>
    </row>
    <row r="562" spans="1:39" ht="12.75">
      <c r="A562" s="30"/>
      <c r="C562" s="31"/>
      <c r="D562" s="32"/>
      <c r="F562" s="31"/>
      <c r="G562" s="30"/>
      <c r="I562" s="31"/>
      <c r="AK562" s="30"/>
      <c r="AM562" s="31"/>
    </row>
    <row r="563" spans="1:39" ht="12.75">
      <c r="A563" s="30"/>
      <c r="C563" s="31"/>
      <c r="D563" s="32"/>
      <c r="F563" s="31"/>
      <c r="G563" s="30"/>
      <c r="I563" s="31"/>
      <c r="AK563" s="30"/>
      <c r="AM563" s="31"/>
    </row>
    <row r="564" spans="1:39" ht="12.75">
      <c r="A564" s="30"/>
      <c r="C564" s="31"/>
      <c r="D564" s="32"/>
      <c r="F564" s="31"/>
      <c r="G564" s="30"/>
      <c r="I564" s="31"/>
      <c r="AK564" s="30"/>
      <c r="AM564" s="31"/>
    </row>
    <row r="565" spans="1:39" ht="12.75">
      <c r="A565" s="30"/>
      <c r="C565" s="31"/>
      <c r="D565" s="32"/>
      <c r="F565" s="31"/>
      <c r="G565" s="30"/>
      <c r="I565" s="31"/>
      <c r="AK565" s="30"/>
      <c r="AM565" s="31"/>
    </row>
    <row r="566" spans="1:39" ht="12.75">
      <c r="A566" s="30"/>
      <c r="C566" s="31"/>
      <c r="D566" s="32"/>
      <c r="F566" s="31"/>
      <c r="G566" s="30"/>
      <c r="I566" s="31"/>
      <c r="AK566" s="30"/>
      <c r="AM566" s="31"/>
    </row>
    <row r="567" spans="1:39" ht="12.75">
      <c r="A567" s="30"/>
      <c r="C567" s="31"/>
      <c r="D567" s="32"/>
      <c r="F567" s="31"/>
      <c r="G567" s="30"/>
      <c r="I567" s="31"/>
      <c r="AK567" s="30"/>
      <c r="AM567" s="31"/>
    </row>
    <row r="568" spans="1:39" ht="12.75">
      <c r="A568" s="30"/>
      <c r="C568" s="31"/>
      <c r="D568" s="32"/>
      <c r="F568" s="31"/>
      <c r="G568" s="30"/>
      <c r="I568" s="31"/>
      <c r="AK568" s="30"/>
      <c r="AM568" s="31"/>
    </row>
    <row r="569" spans="1:39" ht="12.75">
      <c r="A569" s="30"/>
      <c r="C569" s="31"/>
      <c r="D569" s="32"/>
      <c r="F569" s="31"/>
      <c r="G569" s="30"/>
      <c r="I569" s="31"/>
      <c r="AK569" s="30"/>
      <c r="AM569" s="31"/>
    </row>
    <row r="570" spans="1:39" ht="12.75">
      <c r="A570" s="30"/>
      <c r="C570" s="31"/>
      <c r="D570" s="32"/>
      <c r="F570" s="31"/>
      <c r="G570" s="30"/>
      <c r="I570" s="31"/>
      <c r="AK570" s="30"/>
      <c r="AM570" s="31"/>
    </row>
    <row r="571" spans="1:39" ht="12.75">
      <c r="A571" s="30"/>
      <c r="C571" s="31"/>
      <c r="D571" s="32"/>
      <c r="F571" s="31"/>
      <c r="G571" s="30"/>
      <c r="I571" s="31"/>
      <c r="AK571" s="30"/>
      <c r="AM571" s="31"/>
    </row>
    <row r="572" spans="1:39" ht="12.75">
      <c r="A572" s="30"/>
      <c r="C572" s="31"/>
      <c r="D572" s="32"/>
      <c r="F572" s="31"/>
      <c r="G572" s="30"/>
      <c r="I572" s="31"/>
      <c r="AK572" s="30"/>
      <c r="AM572" s="31"/>
    </row>
    <row r="573" spans="1:39" ht="12.75">
      <c r="A573" s="30"/>
      <c r="C573" s="31"/>
      <c r="D573" s="32"/>
      <c r="F573" s="31"/>
      <c r="G573" s="30"/>
      <c r="I573" s="31"/>
      <c r="AK573" s="30"/>
      <c r="AM573" s="31"/>
    </row>
    <row r="574" spans="1:39" ht="12.75">
      <c r="A574" s="30"/>
      <c r="C574" s="31"/>
      <c r="D574" s="32"/>
      <c r="F574" s="31"/>
      <c r="G574" s="30"/>
      <c r="I574" s="31"/>
      <c r="AK574" s="30"/>
      <c r="AM574" s="31"/>
    </row>
    <row r="575" spans="1:39" ht="12.75">
      <c r="A575" s="30"/>
      <c r="C575" s="31"/>
      <c r="D575" s="32"/>
      <c r="F575" s="31"/>
      <c r="G575" s="30"/>
      <c r="I575" s="31"/>
      <c r="AK575" s="30"/>
      <c r="AM575" s="31"/>
    </row>
    <row r="576" spans="1:39" ht="12.75">
      <c r="A576" s="30"/>
      <c r="C576" s="31"/>
      <c r="D576" s="32"/>
      <c r="F576" s="31"/>
      <c r="G576" s="30"/>
      <c r="I576" s="31"/>
      <c r="AK576" s="30"/>
      <c r="AM576" s="31"/>
    </row>
    <row r="577" spans="1:39" ht="12.75">
      <c r="A577" s="30"/>
      <c r="C577" s="31"/>
      <c r="D577" s="32"/>
      <c r="F577" s="31"/>
      <c r="G577" s="30"/>
      <c r="I577" s="31"/>
      <c r="AK577" s="30"/>
      <c r="AM577" s="31"/>
    </row>
    <row r="578" spans="1:39" ht="12.75">
      <c r="A578" s="30"/>
      <c r="C578" s="31"/>
      <c r="D578" s="32"/>
      <c r="F578" s="31"/>
      <c r="G578" s="30"/>
      <c r="I578" s="31"/>
      <c r="AK578" s="30"/>
      <c r="AM578" s="31"/>
    </row>
    <row r="579" spans="1:39" ht="12.75">
      <c r="A579" s="30"/>
      <c r="C579" s="31"/>
      <c r="D579" s="32"/>
      <c r="F579" s="31"/>
      <c r="G579" s="30"/>
      <c r="I579" s="31"/>
      <c r="AK579" s="30"/>
      <c r="AM579" s="31"/>
    </row>
    <row r="580" spans="1:39" ht="12.75">
      <c r="A580" s="30"/>
      <c r="C580" s="31"/>
      <c r="D580" s="32"/>
      <c r="F580" s="31"/>
      <c r="G580" s="30"/>
      <c r="I580" s="31"/>
      <c r="AK580" s="30"/>
      <c r="AM580" s="31"/>
    </row>
    <row r="581" spans="1:39" ht="12.75">
      <c r="A581" s="30"/>
      <c r="C581" s="31"/>
      <c r="D581" s="32"/>
      <c r="F581" s="31"/>
      <c r="G581" s="30"/>
      <c r="I581" s="31"/>
      <c r="AK581" s="30"/>
      <c r="AM581" s="31"/>
    </row>
    <row r="582" spans="1:39" ht="12.75">
      <c r="A582" s="30"/>
      <c r="C582" s="31"/>
      <c r="D582" s="32"/>
      <c r="F582" s="31"/>
      <c r="G582" s="30"/>
      <c r="I582" s="31"/>
      <c r="AK582" s="30"/>
      <c r="AM582" s="31"/>
    </row>
    <row r="583" spans="1:39" ht="12.75">
      <c r="A583" s="30"/>
      <c r="C583" s="31"/>
      <c r="D583" s="32"/>
      <c r="F583" s="31"/>
      <c r="G583" s="30"/>
      <c r="I583" s="31"/>
      <c r="AK583" s="30"/>
      <c r="AM583" s="31"/>
    </row>
    <row r="584" spans="1:39" ht="12.75">
      <c r="A584" s="30"/>
      <c r="C584" s="31"/>
      <c r="D584" s="32"/>
      <c r="F584" s="31"/>
      <c r="G584" s="30"/>
      <c r="I584" s="31"/>
      <c r="AK584" s="30"/>
      <c r="AM584" s="31"/>
    </row>
    <row r="585" spans="1:39" ht="12.75">
      <c r="A585" s="30"/>
      <c r="C585" s="31"/>
      <c r="D585" s="32"/>
      <c r="F585" s="31"/>
      <c r="G585" s="30"/>
      <c r="I585" s="31"/>
      <c r="AK585" s="30"/>
      <c r="AM585" s="31"/>
    </row>
    <row r="586" spans="1:39" ht="12.75">
      <c r="A586" s="30"/>
      <c r="C586" s="31"/>
      <c r="D586" s="32"/>
      <c r="F586" s="31"/>
      <c r="G586" s="30"/>
      <c r="I586" s="31"/>
      <c r="AK586" s="30"/>
      <c r="AM586" s="31"/>
    </row>
    <row r="587" spans="1:39" ht="12.75">
      <c r="A587" s="30"/>
      <c r="C587" s="31"/>
      <c r="D587" s="32"/>
      <c r="F587" s="31"/>
      <c r="G587" s="30"/>
      <c r="I587" s="31"/>
      <c r="AK587" s="30"/>
      <c r="AM587" s="31"/>
    </row>
    <row r="588" spans="1:39" ht="12.75">
      <c r="A588" s="30"/>
      <c r="C588" s="31"/>
      <c r="D588" s="32"/>
      <c r="F588" s="31"/>
      <c r="G588" s="30"/>
      <c r="I588" s="31"/>
      <c r="AK588" s="30"/>
      <c r="AM588" s="31"/>
    </row>
    <row r="589" spans="1:39" ht="12.75">
      <c r="A589" s="30"/>
      <c r="C589" s="31"/>
      <c r="D589" s="32"/>
      <c r="F589" s="31"/>
      <c r="G589" s="30"/>
      <c r="I589" s="31"/>
      <c r="AK589" s="30"/>
      <c r="AM589" s="31"/>
    </row>
    <row r="590" spans="1:39" ht="12.75">
      <c r="A590" s="30"/>
      <c r="C590" s="31"/>
      <c r="D590" s="32"/>
      <c r="F590" s="31"/>
      <c r="G590" s="30"/>
      <c r="I590" s="31"/>
      <c r="AK590" s="30"/>
      <c r="AM590" s="31"/>
    </row>
    <row r="591" spans="1:39" ht="12.75">
      <c r="A591" s="30"/>
      <c r="C591" s="31"/>
      <c r="D591" s="32"/>
      <c r="F591" s="31"/>
      <c r="G591" s="30"/>
      <c r="I591" s="31"/>
      <c r="AK591" s="30"/>
      <c r="AM591" s="31"/>
    </row>
    <row r="592" spans="1:39" ht="12.75">
      <c r="A592" s="30"/>
      <c r="C592" s="31"/>
      <c r="D592" s="32"/>
      <c r="F592" s="31"/>
      <c r="G592" s="30"/>
      <c r="I592" s="31"/>
      <c r="AK592" s="30"/>
      <c r="AM592" s="31"/>
    </row>
    <row r="593" spans="1:39" ht="12.75">
      <c r="A593" s="30"/>
      <c r="C593" s="31"/>
      <c r="D593" s="32"/>
      <c r="F593" s="31"/>
      <c r="G593" s="30"/>
      <c r="I593" s="31"/>
      <c r="AK593" s="30"/>
      <c r="AM593" s="31"/>
    </row>
    <row r="594" spans="1:39" ht="12.75">
      <c r="A594" s="30"/>
      <c r="C594" s="31"/>
      <c r="D594" s="32"/>
      <c r="F594" s="31"/>
      <c r="G594" s="30"/>
      <c r="I594" s="31"/>
      <c r="AK594" s="30"/>
      <c r="AM594" s="31"/>
    </row>
    <row r="595" spans="1:39" ht="12.75">
      <c r="A595" s="30"/>
      <c r="C595" s="31"/>
      <c r="D595" s="32"/>
      <c r="F595" s="31"/>
      <c r="G595" s="30"/>
      <c r="I595" s="31"/>
      <c r="AK595" s="30"/>
      <c r="AM595" s="31"/>
    </row>
    <row r="596" spans="1:39" ht="12.75">
      <c r="A596" s="30"/>
      <c r="C596" s="31"/>
      <c r="D596" s="32"/>
      <c r="F596" s="31"/>
      <c r="G596" s="30"/>
      <c r="I596" s="31"/>
      <c r="AK596" s="30"/>
      <c r="AM596" s="31"/>
    </row>
    <row r="597" spans="1:39" ht="12.75">
      <c r="A597" s="30"/>
      <c r="C597" s="31"/>
      <c r="D597" s="32"/>
      <c r="F597" s="31"/>
      <c r="G597" s="30"/>
      <c r="I597" s="31"/>
      <c r="AK597" s="30"/>
      <c r="AM597" s="31"/>
    </row>
    <row r="598" spans="1:39" ht="12.75">
      <c r="A598" s="30"/>
      <c r="C598" s="31"/>
      <c r="D598" s="32"/>
      <c r="F598" s="31"/>
      <c r="G598" s="30"/>
      <c r="I598" s="31"/>
      <c r="AK598" s="30"/>
      <c r="AM598" s="31"/>
    </row>
    <row r="599" spans="1:39" ht="12.75">
      <c r="A599" s="30"/>
      <c r="C599" s="31"/>
      <c r="D599" s="32"/>
      <c r="F599" s="31"/>
      <c r="G599" s="30"/>
      <c r="I599" s="31"/>
      <c r="AK599" s="30"/>
      <c r="AM599" s="31"/>
    </row>
    <row r="600" spans="1:39" ht="12.75">
      <c r="A600" s="30"/>
      <c r="C600" s="31"/>
      <c r="D600" s="32"/>
      <c r="F600" s="31"/>
      <c r="G600" s="30"/>
      <c r="I600" s="31"/>
      <c r="AK600" s="30"/>
      <c r="AM600" s="31"/>
    </row>
    <row r="601" spans="1:39" ht="12.75">
      <c r="A601" s="30"/>
      <c r="C601" s="31"/>
      <c r="D601" s="32"/>
      <c r="F601" s="31"/>
      <c r="G601" s="30"/>
      <c r="I601" s="31"/>
      <c r="AK601" s="30"/>
      <c r="AM601" s="31"/>
    </row>
    <row r="602" spans="1:39" ht="12.75">
      <c r="A602" s="30"/>
      <c r="C602" s="31"/>
      <c r="D602" s="32"/>
      <c r="F602" s="31"/>
      <c r="G602" s="30"/>
      <c r="I602" s="31"/>
      <c r="AK602" s="30"/>
      <c r="AM602" s="31"/>
    </row>
    <row r="603" spans="1:39" ht="12.75">
      <c r="A603" s="30"/>
      <c r="C603" s="31"/>
      <c r="D603" s="32"/>
      <c r="F603" s="31"/>
      <c r="G603" s="30"/>
      <c r="I603" s="31"/>
      <c r="AK603" s="30"/>
      <c r="AM603" s="31"/>
    </row>
    <row r="604" spans="1:39" ht="12.75">
      <c r="A604" s="30"/>
      <c r="C604" s="31"/>
      <c r="D604" s="32"/>
      <c r="F604" s="31"/>
      <c r="G604" s="30"/>
      <c r="I604" s="31"/>
      <c r="AK604" s="30"/>
      <c r="AM604" s="31"/>
    </row>
    <row r="605" spans="1:39" ht="12.75">
      <c r="A605" s="30"/>
      <c r="C605" s="31"/>
      <c r="D605" s="32"/>
      <c r="F605" s="31"/>
      <c r="G605" s="30"/>
      <c r="I605" s="31"/>
      <c r="AK605" s="30"/>
      <c r="AM605" s="31"/>
    </row>
    <row r="606" spans="1:39" ht="12.75">
      <c r="A606" s="30"/>
      <c r="C606" s="31"/>
      <c r="D606" s="32"/>
      <c r="F606" s="31"/>
      <c r="G606" s="30"/>
      <c r="I606" s="31"/>
      <c r="AK606" s="30"/>
      <c r="AM606" s="31"/>
    </row>
    <row r="607" spans="1:39" ht="12.75">
      <c r="A607" s="30"/>
      <c r="C607" s="31"/>
      <c r="D607" s="32"/>
      <c r="F607" s="31"/>
      <c r="G607" s="30"/>
      <c r="I607" s="31"/>
      <c r="AK607" s="30"/>
      <c r="AM607" s="31"/>
    </row>
    <row r="608" spans="1:39" ht="12.75">
      <c r="A608" s="30"/>
      <c r="C608" s="31"/>
      <c r="D608" s="32"/>
      <c r="F608" s="31"/>
      <c r="G608" s="30"/>
      <c r="I608" s="31"/>
      <c r="AK608" s="30"/>
      <c r="AM608" s="31"/>
    </row>
    <row r="609" spans="1:39" ht="12.75">
      <c r="A609" s="30"/>
      <c r="C609" s="31"/>
      <c r="D609" s="32"/>
      <c r="F609" s="31"/>
      <c r="G609" s="30"/>
      <c r="I609" s="31"/>
      <c r="AK609" s="30"/>
      <c r="AM609" s="31"/>
    </row>
    <row r="610" spans="1:39" ht="12.75">
      <c r="A610" s="30"/>
      <c r="C610" s="31"/>
      <c r="D610" s="32"/>
      <c r="F610" s="31"/>
      <c r="G610" s="30"/>
      <c r="I610" s="31"/>
      <c r="AK610" s="30"/>
      <c r="AM610" s="31"/>
    </row>
    <row r="611" spans="1:39" ht="12.75">
      <c r="A611" s="30"/>
      <c r="C611" s="31"/>
      <c r="D611" s="32"/>
      <c r="F611" s="31"/>
      <c r="G611" s="30"/>
      <c r="I611" s="31"/>
      <c r="AK611" s="30"/>
      <c r="AM611" s="31"/>
    </row>
    <row r="612" spans="1:39" ht="12.75">
      <c r="A612" s="30"/>
      <c r="C612" s="31"/>
      <c r="D612" s="32"/>
      <c r="F612" s="31"/>
      <c r="G612" s="30"/>
      <c r="I612" s="31"/>
      <c r="AK612" s="30"/>
      <c r="AM612" s="31"/>
    </row>
    <row r="613" spans="1:39" ht="12.75">
      <c r="A613" s="30"/>
      <c r="C613" s="31"/>
      <c r="D613" s="32"/>
      <c r="F613" s="31"/>
      <c r="G613" s="30"/>
      <c r="I613" s="31"/>
      <c r="AK613" s="30"/>
      <c r="AM613" s="31"/>
    </row>
    <row r="614" spans="1:39" ht="12.75">
      <c r="A614" s="30"/>
      <c r="C614" s="31"/>
      <c r="D614" s="32"/>
      <c r="F614" s="31"/>
      <c r="G614" s="30"/>
      <c r="I614" s="31"/>
      <c r="AK614" s="30"/>
      <c r="AM614" s="31"/>
    </row>
    <row r="615" spans="1:39" ht="12.75">
      <c r="A615" s="30"/>
      <c r="C615" s="31"/>
      <c r="D615" s="32"/>
      <c r="F615" s="31"/>
      <c r="G615" s="30"/>
      <c r="I615" s="31"/>
      <c r="AK615" s="30"/>
      <c r="AM615" s="31"/>
    </row>
    <row r="616" spans="1:39" ht="12.75">
      <c r="A616" s="30"/>
      <c r="C616" s="31"/>
      <c r="D616" s="32"/>
      <c r="F616" s="31"/>
      <c r="G616" s="30"/>
      <c r="I616" s="31"/>
      <c r="AK616" s="30"/>
      <c r="AM616" s="31"/>
    </row>
    <row r="617" spans="1:39" ht="12.75">
      <c r="A617" s="30"/>
      <c r="C617" s="31"/>
      <c r="D617" s="32"/>
      <c r="F617" s="31"/>
      <c r="G617" s="30"/>
      <c r="I617" s="31"/>
      <c r="AK617" s="30"/>
      <c r="AM617" s="31"/>
    </row>
    <row r="618" spans="1:39" ht="12.75">
      <c r="A618" s="30"/>
      <c r="C618" s="31"/>
      <c r="D618" s="32"/>
      <c r="F618" s="31"/>
      <c r="G618" s="30"/>
      <c r="I618" s="31"/>
      <c r="AK618" s="30"/>
      <c r="AM618" s="31"/>
    </row>
    <row r="619" spans="1:39" ht="12.75">
      <c r="A619" s="30"/>
      <c r="C619" s="31"/>
      <c r="D619" s="32"/>
      <c r="F619" s="31"/>
      <c r="G619" s="30"/>
      <c r="I619" s="31"/>
      <c r="AK619" s="30"/>
      <c r="AM619" s="31"/>
    </row>
    <row r="620" spans="1:39" ht="12.75">
      <c r="A620" s="30"/>
      <c r="C620" s="31"/>
      <c r="D620" s="32"/>
      <c r="F620" s="31"/>
      <c r="G620" s="30"/>
      <c r="I620" s="31"/>
      <c r="AK620" s="30"/>
      <c r="AM620" s="31"/>
    </row>
    <row r="621" spans="1:39" ht="12.75">
      <c r="A621" s="30"/>
      <c r="C621" s="31"/>
      <c r="D621" s="32"/>
      <c r="F621" s="31"/>
      <c r="G621" s="30"/>
      <c r="I621" s="31"/>
      <c r="AK621" s="30"/>
      <c r="AM621" s="31"/>
    </row>
    <row r="622" spans="1:39" ht="12.75">
      <c r="A622" s="30"/>
      <c r="C622" s="31"/>
      <c r="D622" s="32"/>
      <c r="F622" s="31"/>
      <c r="G622" s="30"/>
      <c r="I622" s="31"/>
      <c r="AK622" s="30"/>
      <c r="AM622" s="31"/>
    </row>
    <row r="623" spans="1:39" ht="12.75">
      <c r="A623" s="30"/>
      <c r="C623" s="31"/>
      <c r="D623" s="32"/>
      <c r="F623" s="31"/>
      <c r="G623" s="30"/>
      <c r="I623" s="31"/>
      <c r="AK623" s="30"/>
      <c r="AM623" s="31"/>
    </row>
    <row r="624" spans="1:39" ht="12.75">
      <c r="A624" s="30"/>
      <c r="C624" s="31"/>
      <c r="D624" s="32"/>
      <c r="F624" s="31"/>
      <c r="G624" s="30"/>
      <c r="I624" s="31"/>
      <c r="AK624" s="30"/>
      <c r="AM624" s="31"/>
    </row>
    <row r="625" spans="1:39" ht="12.75">
      <c r="A625" s="30"/>
      <c r="C625" s="31"/>
      <c r="D625" s="32"/>
      <c r="F625" s="31"/>
      <c r="G625" s="30"/>
      <c r="I625" s="31"/>
      <c r="AK625" s="30"/>
      <c r="AM625" s="31"/>
    </row>
    <row r="626" spans="1:39" ht="12.75">
      <c r="A626" s="30"/>
      <c r="C626" s="31"/>
      <c r="D626" s="32"/>
      <c r="F626" s="31"/>
      <c r="G626" s="30"/>
      <c r="I626" s="31"/>
      <c r="AK626" s="30"/>
      <c r="AM626" s="31"/>
    </row>
    <row r="627" spans="1:39" ht="12.75">
      <c r="A627" s="30"/>
      <c r="C627" s="31"/>
      <c r="D627" s="32"/>
      <c r="F627" s="31"/>
      <c r="G627" s="30"/>
      <c r="I627" s="31"/>
      <c r="AK627" s="30"/>
      <c r="AM627" s="31"/>
    </row>
    <row r="628" spans="1:39" ht="12.75">
      <c r="A628" s="30"/>
      <c r="C628" s="31"/>
      <c r="D628" s="32"/>
      <c r="F628" s="31"/>
      <c r="G628" s="30"/>
      <c r="I628" s="31"/>
      <c r="AK628" s="30"/>
      <c r="AM628" s="31"/>
    </row>
    <row r="629" spans="1:39" ht="12.75">
      <c r="A629" s="30"/>
      <c r="C629" s="31"/>
      <c r="D629" s="32"/>
      <c r="F629" s="31"/>
      <c r="G629" s="30"/>
      <c r="I629" s="31"/>
      <c r="AK629" s="30"/>
      <c r="AM629" s="31"/>
    </row>
    <row r="630" spans="1:39" ht="12.75">
      <c r="A630" s="30"/>
      <c r="C630" s="31"/>
      <c r="D630" s="32"/>
      <c r="F630" s="31"/>
      <c r="G630" s="30"/>
      <c r="I630" s="31"/>
      <c r="AK630" s="30"/>
      <c r="AM630" s="31"/>
    </row>
    <row r="631" spans="1:39" ht="12.75">
      <c r="A631" s="30"/>
      <c r="C631" s="31"/>
      <c r="D631" s="32"/>
      <c r="F631" s="31"/>
      <c r="G631" s="30"/>
      <c r="I631" s="31"/>
      <c r="AK631" s="30"/>
      <c r="AM631" s="31"/>
    </row>
    <row r="632" spans="1:39" ht="12.75">
      <c r="A632" s="30"/>
      <c r="C632" s="31"/>
      <c r="D632" s="32"/>
      <c r="F632" s="31"/>
      <c r="G632" s="30"/>
      <c r="I632" s="31"/>
      <c r="AK632" s="30"/>
      <c r="AM632" s="31"/>
    </row>
    <row r="633" spans="1:39" ht="12.75">
      <c r="A633" s="30"/>
      <c r="C633" s="31"/>
      <c r="D633" s="32"/>
      <c r="F633" s="31"/>
      <c r="G633" s="30"/>
      <c r="I633" s="31"/>
      <c r="AK633" s="30"/>
      <c r="AM633" s="31"/>
    </row>
    <row r="634" spans="1:39" ht="12.75">
      <c r="A634" s="30"/>
      <c r="C634" s="31"/>
      <c r="D634" s="32"/>
      <c r="F634" s="31"/>
      <c r="G634" s="30"/>
      <c r="I634" s="31"/>
      <c r="AK634" s="30"/>
      <c r="AM634" s="31"/>
    </row>
    <row r="635" spans="1:39" ht="12.75">
      <c r="A635" s="30"/>
      <c r="C635" s="31"/>
      <c r="D635" s="32"/>
      <c r="F635" s="31"/>
      <c r="G635" s="30"/>
      <c r="I635" s="31"/>
      <c r="AK635" s="30"/>
      <c r="AM635" s="31"/>
    </row>
    <row r="636" spans="1:39" ht="12.75">
      <c r="A636" s="30"/>
      <c r="C636" s="31"/>
      <c r="D636" s="32"/>
      <c r="F636" s="31"/>
      <c r="G636" s="30"/>
      <c r="I636" s="31"/>
      <c r="AK636" s="30"/>
      <c r="AM636" s="31"/>
    </row>
    <row r="637" spans="1:39" ht="12.75">
      <c r="A637" s="30"/>
      <c r="C637" s="31"/>
      <c r="D637" s="32"/>
      <c r="F637" s="31"/>
      <c r="G637" s="30"/>
      <c r="I637" s="31"/>
      <c r="AK637" s="30"/>
      <c r="AM637" s="31"/>
    </row>
    <row r="638" spans="1:39" ht="12.75">
      <c r="A638" s="30"/>
      <c r="C638" s="31"/>
      <c r="D638" s="32"/>
      <c r="F638" s="31"/>
      <c r="G638" s="30"/>
      <c r="I638" s="31"/>
      <c r="AK638" s="30"/>
      <c r="AM638" s="31"/>
    </row>
    <row r="639" spans="1:39" ht="12.75">
      <c r="A639" s="30"/>
      <c r="C639" s="31"/>
      <c r="D639" s="32"/>
      <c r="F639" s="31"/>
      <c r="G639" s="30"/>
      <c r="I639" s="31"/>
      <c r="AK639" s="30"/>
      <c r="AM639" s="31"/>
    </row>
    <row r="640" spans="1:39" ht="12.75">
      <c r="A640" s="30"/>
      <c r="C640" s="31"/>
      <c r="D640" s="32"/>
      <c r="F640" s="31"/>
      <c r="G640" s="30"/>
      <c r="I640" s="31"/>
      <c r="AK640" s="30"/>
      <c r="AM640" s="31"/>
    </row>
    <row r="641" spans="1:39" ht="12.75">
      <c r="A641" s="30"/>
      <c r="C641" s="31"/>
      <c r="D641" s="32"/>
      <c r="F641" s="31"/>
      <c r="G641" s="30"/>
      <c r="I641" s="31"/>
      <c r="AK641" s="30"/>
      <c r="AM641" s="31"/>
    </row>
    <row r="642" spans="1:39" ht="12.75">
      <c r="A642" s="30"/>
      <c r="C642" s="31"/>
      <c r="D642" s="32"/>
      <c r="F642" s="31"/>
      <c r="G642" s="30"/>
      <c r="I642" s="31"/>
      <c r="AK642" s="30"/>
      <c r="AM642" s="31"/>
    </row>
    <row r="643" spans="1:39" ht="12.75">
      <c r="A643" s="30"/>
      <c r="C643" s="31"/>
      <c r="D643" s="32"/>
      <c r="F643" s="31"/>
      <c r="G643" s="30"/>
      <c r="I643" s="31"/>
      <c r="AK643" s="30"/>
      <c r="AM643" s="31"/>
    </row>
    <row r="644" spans="1:39" ht="12.75">
      <c r="A644" s="30"/>
      <c r="C644" s="31"/>
      <c r="D644" s="32"/>
      <c r="F644" s="31"/>
      <c r="G644" s="30"/>
      <c r="I644" s="31"/>
      <c r="AK644" s="30"/>
      <c r="AM644" s="31"/>
    </row>
    <row r="645" spans="1:39" ht="12.75">
      <c r="A645" s="30"/>
      <c r="C645" s="31"/>
      <c r="D645" s="32"/>
      <c r="F645" s="31"/>
      <c r="G645" s="30"/>
      <c r="I645" s="31"/>
      <c r="AK645" s="30"/>
      <c r="AM645" s="31"/>
    </row>
    <row r="646" spans="1:39" ht="12.75">
      <c r="A646" s="30"/>
      <c r="C646" s="31"/>
      <c r="D646" s="32"/>
      <c r="F646" s="31"/>
      <c r="G646" s="30"/>
      <c r="I646" s="31"/>
      <c r="AK646" s="30"/>
      <c r="AM646" s="31"/>
    </row>
    <row r="647" spans="1:39" ht="12.75">
      <c r="A647" s="30"/>
      <c r="C647" s="31"/>
      <c r="D647" s="32"/>
      <c r="F647" s="31"/>
      <c r="G647" s="30"/>
      <c r="I647" s="31"/>
      <c r="AK647" s="30"/>
      <c r="AM647" s="31"/>
    </row>
    <row r="648" spans="1:39" ht="12.75">
      <c r="A648" s="30"/>
      <c r="C648" s="31"/>
      <c r="D648" s="32"/>
      <c r="F648" s="31"/>
      <c r="G648" s="30"/>
      <c r="I648" s="31"/>
      <c r="AK648" s="30"/>
      <c r="AM648" s="31"/>
    </row>
    <row r="649" spans="1:39" ht="12.75">
      <c r="A649" s="30"/>
      <c r="C649" s="31"/>
      <c r="D649" s="32"/>
      <c r="F649" s="31"/>
      <c r="G649" s="30"/>
      <c r="I649" s="31"/>
      <c r="AK649" s="30"/>
      <c r="AM649" s="31"/>
    </row>
    <row r="650" spans="1:39" ht="12.75">
      <c r="A650" s="30"/>
      <c r="C650" s="31"/>
      <c r="D650" s="32"/>
      <c r="F650" s="31"/>
      <c r="G650" s="30"/>
      <c r="I650" s="31"/>
      <c r="AK650" s="30"/>
      <c r="AM650" s="31"/>
    </row>
    <row r="651" spans="1:39" ht="12.75">
      <c r="A651" s="30"/>
      <c r="C651" s="31"/>
      <c r="D651" s="32"/>
      <c r="F651" s="31"/>
      <c r="G651" s="30"/>
      <c r="I651" s="31"/>
      <c r="AK651" s="30"/>
      <c r="AM651" s="31"/>
    </row>
    <row r="652" spans="1:39" ht="12.75">
      <c r="A652" s="30"/>
      <c r="C652" s="31"/>
      <c r="D652" s="32"/>
      <c r="F652" s="31"/>
      <c r="G652" s="30"/>
      <c r="I652" s="31"/>
      <c r="AK652" s="30"/>
      <c r="AM652" s="31"/>
    </row>
    <row r="653" spans="1:39" ht="12.75">
      <c r="A653" s="30"/>
      <c r="C653" s="31"/>
      <c r="D653" s="32"/>
      <c r="F653" s="31"/>
      <c r="G653" s="30"/>
      <c r="I653" s="31"/>
      <c r="AK653" s="30"/>
      <c r="AM653" s="31"/>
    </row>
    <row r="654" spans="1:39" ht="12.75">
      <c r="A654" s="30"/>
      <c r="C654" s="31"/>
      <c r="D654" s="32"/>
      <c r="F654" s="31"/>
      <c r="G654" s="30"/>
      <c r="I654" s="31"/>
      <c r="AK654" s="30"/>
      <c r="AM654" s="31"/>
    </row>
    <row r="655" spans="1:39" ht="12.75">
      <c r="A655" s="30"/>
      <c r="C655" s="31"/>
      <c r="D655" s="32"/>
      <c r="F655" s="31"/>
      <c r="G655" s="30"/>
      <c r="I655" s="31"/>
      <c r="AK655" s="30"/>
      <c r="AM655" s="31"/>
    </row>
    <row r="656" spans="1:39" ht="12.75">
      <c r="A656" s="30"/>
      <c r="C656" s="31"/>
      <c r="D656" s="32"/>
      <c r="F656" s="31"/>
      <c r="G656" s="30"/>
      <c r="I656" s="31"/>
      <c r="AK656" s="30"/>
      <c r="AM656" s="31"/>
    </row>
    <row r="657" spans="1:39" ht="12.75">
      <c r="A657" s="30"/>
      <c r="C657" s="31"/>
      <c r="D657" s="32"/>
      <c r="F657" s="31"/>
      <c r="G657" s="30"/>
      <c r="I657" s="31"/>
      <c r="AK657" s="30"/>
      <c r="AM657" s="31"/>
    </row>
    <row r="658" spans="1:39" ht="12.75">
      <c r="A658" s="30"/>
      <c r="C658" s="31"/>
      <c r="D658" s="32"/>
      <c r="F658" s="31"/>
      <c r="G658" s="30"/>
      <c r="I658" s="31"/>
      <c r="AK658" s="30"/>
      <c r="AM658" s="31"/>
    </row>
    <row r="659" spans="1:39" ht="12.75">
      <c r="A659" s="30"/>
      <c r="C659" s="31"/>
      <c r="D659" s="32"/>
      <c r="F659" s="31"/>
      <c r="G659" s="30"/>
      <c r="I659" s="31"/>
      <c r="AK659" s="30"/>
      <c r="AM659" s="31"/>
    </row>
    <row r="660" spans="1:39" ht="12.75">
      <c r="A660" s="30"/>
      <c r="C660" s="31"/>
      <c r="D660" s="32"/>
      <c r="F660" s="31"/>
      <c r="G660" s="30"/>
      <c r="I660" s="31"/>
      <c r="AK660" s="30"/>
      <c r="AM660" s="31"/>
    </row>
    <row r="661" spans="1:39" ht="12.75">
      <c r="A661" s="30"/>
      <c r="C661" s="31"/>
      <c r="D661" s="32"/>
      <c r="F661" s="31"/>
      <c r="G661" s="30"/>
      <c r="I661" s="31"/>
      <c r="AK661" s="30"/>
      <c r="AM661" s="31"/>
    </row>
    <row r="662" spans="1:39" ht="12.75">
      <c r="A662" s="30"/>
      <c r="C662" s="31"/>
      <c r="D662" s="32"/>
      <c r="F662" s="31"/>
      <c r="G662" s="30"/>
      <c r="I662" s="31"/>
      <c r="AK662" s="30"/>
      <c r="AM662" s="31"/>
    </row>
    <row r="663" spans="1:39" ht="12.75">
      <c r="A663" s="30"/>
      <c r="C663" s="31"/>
      <c r="D663" s="32"/>
      <c r="F663" s="31"/>
      <c r="G663" s="30"/>
      <c r="I663" s="31"/>
      <c r="AK663" s="30"/>
      <c r="AM663" s="31"/>
    </row>
    <row r="664" spans="1:39" ht="12.75">
      <c r="A664" s="30"/>
      <c r="C664" s="31"/>
      <c r="D664" s="32"/>
      <c r="F664" s="31"/>
      <c r="G664" s="30"/>
      <c r="I664" s="31"/>
      <c r="AK664" s="30"/>
      <c r="AM664" s="31"/>
    </row>
    <row r="665" spans="1:39" ht="12.75">
      <c r="A665" s="30"/>
      <c r="C665" s="31"/>
      <c r="D665" s="32"/>
      <c r="F665" s="31"/>
      <c r="G665" s="30"/>
      <c r="I665" s="31"/>
      <c r="AK665" s="30"/>
      <c r="AM665" s="31"/>
    </row>
    <row r="666" spans="1:39" ht="12.75">
      <c r="A666" s="30"/>
      <c r="C666" s="31"/>
      <c r="D666" s="32"/>
      <c r="F666" s="31"/>
      <c r="G666" s="30"/>
      <c r="I666" s="31"/>
      <c r="AK666" s="30"/>
      <c r="AM666" s="31"/>
    </row>
    <row r="667" spans="1:39" ht="12.75">
      <c r="A667" s="30"/>
      <c r="C667" s="31"/>
      <c r="D667" s="32"/>
      <c r="F667" s="31"/>
      <c r="G667" s="30"/>
      <c r="I667" s="31"/>
      <c r="AK667" s="30"/>
      <c r="AM667" s="31"/>
    </row>
    <row r="668" spans="1:39" ht="12.75">
      <c r="A668" s="30"/>
      <c r="C668" s="31"/>
      <c r="D668" s="32"/>
      <c r="F668" s="31"/>
      <c r="G668" s="30"/>
      <c r="I668" s="31"/>
      <c r="AK668" s="30"/>
      <c r="AM668" s="31"/>
    </row>
    <row r="669" spans="1:39" ht="12.75">
      <c r="A669" s="30"/>
      <c r="C669" s="31"/>
      <c r="D669" s="32"/>
      <c r="F669" s="31"/>
      <c r="G669" s="30"/>
      <c r="I669" s="31"/>
      <c r="AK669" s="30"/>
      <c r="AM669" s="31"/>
    </row>
    <row r="670" spans="1:39" ht="12.75">
      <c r="A670" s="30"/>
      <c r="C670" s="31"/>
      <c r="D670" s="32"/>
      <c r="F670" s="31"/>
      <c r="G670" s="30"/>
      <c r="I670" s="31"/>
      <c r="AK670" s="30"/>
      <c r="AM670" s="31"/>
    </row>
    <row r="671" spans="1:39" ht="12.75">
      <c r="A671" s="30"/>
      <c r="C671" s="31"/>
      <c r="D671" s="32"/>
      <c r="F671" s="31"/>
      <c r="G671" s="30"/>
      <c r="I671" s="31"/>
      <c r="AK671" s="30"/>
      <c r="AM671" s="31"/>
    </row>
    <row r="672" spans="1:39" ht="12.75">
      <c r="A672" s="30"/>
      <c r="C672" s="31"/>
      <c r="D672" s="32"/>
      <c r="F672" s="31"/>
      <c r="G672" s="30"/>
      <c r="I672" s="31"/>
      <c r="AK672" s="30"/>
      <c r="AM672" s="31"/>
    </row>
    <row r="673" spans="1:39" ht="12.75">
      <c r="A673" s="30"/>
      <c r="C673" s="31"/>
      <c r="D673" s="32"/>
      <c r="F673" s="31"/>
      <c r="G673" s="30"/>
      <c r="I673" s="31"/>
      <c r="AK673" s="30"/>
      <c r="AM673" s="31"/>
    </row>
    <row r="674" spans="1:39" ht="12.75">
      <c r="A674" s="30"/>
      <c r="C674" s="31"/>
      <c r="D674" s="32"/>
      <c r="F674" s="31"/>
      <c r="G674" s="30"/>
      <c r="I674" s="31"/>
      <c r="AK674" s="30"/>
      <c r="AM674" s="31"/>
    </row>
    <row r="675" spans="1:39" ht="12.75">
      <c r="A675" s="30"/>
      <c r="C675" s="31"/>
      <c r="D675" s="32"/>
      <c r="F675" s="31"/>
      <c r="G675" s="30"/>
      <c r="I675" s="31"/>
      <c r="AK675" s="30"/>
      <c r="AM675" s="31"/>
    </row>
    <row r="676" spans="1:39" ht="12.75">
      <c r="A676" s="30"/>
      <c r="C676" s="31"/>
      <c r="D676" s="32"/>
      <c r="F676" s="31"/>
      <c r="G676" s="30"/>
      <c r="I676" s="31"/>
      <c r="AK676" s="30"/>
      <c r="AM676" s="31"/>
    </row>
    <row r="677" spans="1:39" ht="12.75">
      <c r="A677" s="30"/>
      <c r="C677" s="31"/>
      <c r="D677" s="32"/>
      <c r="F677" s="31"/>
      <c r="G677" s="30"/>
      <c r="I677" s="31"/>
      <c r="AK677" s="30"/>
      <c r="AM677" s="31"/>
    </row>
    <row r="678" spans="1:39" ht="12.75">
      <c r="A678" s="30"/>
      <c r="C678" s="31"/>
      <c r="D678" s="32"/>
      <c r="F678" s="31"/>
      <c r="G678" s="30"/>
      <c r="I678" s="31"/>
      <c r="AK678" s="30"/>
      <c r="AM678" s="31"/>
    </row>
    <row r="679" spans="1:39" ht="12.75">
      <c r="A679" s="30"/>
      <c r="C679" s="31"/>
      <c r="D679" s="32"/>
      <c r="F679" s="31"/>
      <c r="G679" s="30"/>
      <c r="I679" s="31"/>
      <c r="AK679" s="30"/>
      <c r="AM679" s="31"/>
    </row>
    <row r="680" spans="1:39" ht="12.75">
      <c r="A680" s="30"/>
      <c r="C680" s="31"/>
      <c r="D680" s="32"/>
      <c r="F680" s="31"/>
      <c r="G680" s="30"/>
      <c r="I680" s="31"/>
      <c r="AK680" s="30"/>
      <c r="AM680" s="31"/>
    </row>
    <row r="681" spans="1:39" ht="12.75">
      <c r="A681" s="30"/>
      <c r="C681" s="31"/>
      <c r="D681" s="32"/>
      <c r="F681" s="31"/>
      <c r="G681" s="30"/>
      <c r="I681" s="31"/>
      <c r="AK681" s="30"/>
      <c r="AM681" s="31"/>
    </row>
    <row r="682" spans="1:39" ht="12.75">
      <c r="A682" s="30"/>
      <c r="C682" s="31"/>
      <c r="D682" s="32"/>
      <c r="F682" s="31"/>
      <c r="G682" s="30"/>
      <c r="I682" s="31"/>
      <c r="AK682" s="30"/>
      <c r="AM682" s="31"/>
    </row>
    <row r="683" spans="1:39" ht="12.75">
      <c r="A683" s="30"/>
      <c r="C683" s="31"/>
      <c r="D683" s="32"/>
      <c r="F683" s="31"/>
      <c r="G683" s="30"/>
      <c r="I683" s="31"/>
      <c r="AK683" s="30"/>
      <c r="AM683" s="31"/>
    </row>
    <row r="684" spans="1:39" ht="12.75">
      <c r="A684" s="30"/>
      <c r="C684" s="31"/>
      <c r="D684" s="32"/>
      <c r="F684" s="31"/>
      <c r="G684" s="30"/>
      <c r="I684" s="31"/>
      <c r="AK684" s="30"/>
      <c r="AM684" s="31"/>
    </row>
    <row r="685" spans="1:39" ht="12.75">
      <c r="A685" s="30"/>
      <c r="C685" s="31"/>
      <c r="D685" s="32"/>
      <c r="F685" s="31"/>
      <c r="G685" s="30"/>
      <c r="I685" s="31"/>
      <c r="AK685" s="30"/>
      <c r="AM685" s="31"/>
    </row>
    <row r="686" spans="1:39" ht="12.75">
      <c r="A686" s="30"/>
      <c r="C686" s="31"/>
      <c r="D686" s="32"/>
      <c r="F686" s="31"/>
      <c r="G686" s="30"/>
      <c r="I686" s="31"/>
      <c r="AK686" s="30"/>
      <c r="AM686" s="31"/>
    </row>
    <row r="687" spans="1:39" ht="12.75">
      <c r="A687" s="30"/>
      <c r="C687" s="31"/>
      <c r="D687" s="32"/>
      <c r="F687" s="31"/>
      <c r="G687" s="30"/>
      <c r="I687" s="31"/>
      <c r="AK687" s="30"/>
      <c r="AM687" s="31"/>
    </row>
    <row r="688" spans="1:39" ht="12.75">
      <c r="A688" s="30"/>
      <c r="C688" s="31"/>
      <c r="D688" s="32"/>
      <c r="F688" s="31"/>
      <c r="G688" s="30"/>
      <c r="I688" s="31"/>
      <c r="AK688" s="30"/>
      <c r="AM688" s="31"/>
    </row>
    <row r="689" spans="1:39" ht="12.75">
      <c r="A689" s="30"/>
      <c r="C689" s="31"/>
      <c r="D689" s="32"/>
      <c r="F689" s="31"/>
      <c r="G689" s="30"/>
      <c r="I689" s="31"/>
      <c r="AK689" s="30"/>
      <c r="AM689" s="31"/>
    </row>
    <row r="690" spans="1:39" ht="12.75">
      <c r="A690" s="30"/>
      <c r="C690" s="31"/>
      <c r="D690" s="32"/>
      <c r="F690" s="31"/>
      <c r="G690" s="30"/>
      <c r="I690" s="31"/>
      <c r="AK690" s="30"/>
      <c r="AM690" s="31"/>
    </row>
    <row r="691" spans="1:39" ht="12.75">
      <c r="A691" s="30"/>
      <c r="C691" s="31"/>
      <c r="D691" s="32"/>
      <c r="F691" s="31"/>
      <c r="G691" s="30"/>
      <c r="I691" s="31"/>
      <c r="AK691" s="30"/>
      <c r="AM691" s="31"/>
    </row>
    <row r="692" spans="1:39" ht="12.75">
      <c r="A692" s="30"/>
      <c r="C692" s="31"/>
      <c r="D692" s="32"/>
      <c r="F692" s="31"/>
      <c r="G692" s="30"/>
      <c r="I692" s="31"/>
      <c r="AK692" s="30"/>
      <c r="AM692" s="31"/>
    </row>
    <row r="693" spans="1:39" ht="12.75">
      <c r="A693" s="30"/>
      <c r="C693" s="31"/>
      <c r="D693" s="32"/>
      <c r="F693" s="31"/>
      <c r="G693" s="30"/>
      <c r="I693" s="31"/>
      <c r="AK693" s="30"/>
      <c r="AM693" s="31"/>
    </row>
    <row r="694" spans="1:39" ht="12.75">
      <c r="A694" s="30"/>
      <c r="C694" s="31"/>
      <c r="D694" s="32"/>
      <c r="F694" s="31"/>
      <c r="G694" s="30"/>
      <c r="I694" s="31"/>
      <c r="AK694" s="30"/>
      <c r="AM694" s="31"/>
    </row>
    <row r="695" spans="1:39" ht="12.75">
      <c r="A695" s="30"/>
      <c r="C695" s="31"/>
      <c r="D695" s="32"/>
      <c r="F695" s="31"/>
      <c r="G695" s="30"/>
      <c r="I695" s="31"/>
      <c r="AK695" s="30"/>
      <c r="AM695" s="31"/>
    </row>
    <row r="696" spans="1:39" ht="12.75">
      <c r="A696" s="30"/>
      <c r="C696" s="31"/>
      <c r="D696" s="32"/>
      <c r="F696" s="31"/>
      <c r="G696" s="30"/>
      <c r="I696" s="31"/>
      <c r="AK696" s="30"/>
      <c r="AM696" s="31"/>
    </row>
    <row r="697" spans="1:39" ht="12.75">
      <c r="A697" s="30"/>
      <c r="C697" s="31"/>
      <c r="D697" s="32"/>
      <c r="F697" s="31"/>
      <c r="G697" s="30"/>
      <c r="I697" s="31"/>
      <c r="AK697" s="30"/>
      <c r="AM697" s="31"/>
    </row>
    <row r="698" spans="1:39" ht="12.75">
      <c r="A698" s="30"/>
      <c r="C698" s="31"/>
      <c r="D698" s="32"/>
      <c r="F698" s="31"/>
      <c r="G698" s="30"/>
      <c r="I698" s="31"/>
      <c r="AK698" s="30"/>
      <c r="AM698" s="31"/>
    </row>
    <row r="699" spans="1:39" ht="12.75">
      <c r="A699" s="30"/>
      <c r="C699" s="31"/>
      <c r="D699" s="32"/>
      <c r="F699" s="31"/>
      <c r="G699" s="30"/>
      <c r="I699" s="31"/>
      <c r="AK699" s="30"/>
      <c r="AM699" s="31"/>
    </row>
    <row r="700" spans="1:39" ht="12.75">
      <c r="A700" s="30"/>
      <c r="C700" s="31"/>
      <c r="D700" s="32"/>
      <c r="F700" s="31"/>
      <c r="G700" s="30"/>
      <c r="I700" s="31"/>
      <c r="AK700" s="30"/>
      <c r="AM700" s="31"/>
    </row>
    <row r="701" spans="1:39" ht="12.75">
      <c r="A701" s="30"/>
      <c r="C701" s="31"/>
      <c r="D701" s="32"/>
      <c r="F701" s="31"/>
      <c r="G701" s="30"/>
      <c r="I701" s="31"/>
      <c r="AK701" s="30"/>
      <c r="AM701" s="31"/>
    </row>
    <row r="702" spans="1:39" ht="12.75">
      <c r="A702" s="30"/>
      <c r="C702" s="31"/>
      <c r="D702" s="32"/>
      <c r="F702" s="31"/>
      <c r="G702" s="30"/>
      <c r="I702" s="31"/>
      <c r="AK702" s="30"/>
      <c r="AM702" s="31"/>
    </row>
    <row r="703" spans="1:39" ht="12.75">
      <c r="A703" s="30"/>
      <c r="C703" s="31"/>
      <c r="D703" s="32"/>
      <c r="F703" s="31"/>
      <c r="G703" s="30"/>
      <c r="I703" s="31"/>
      <c r="AK703" s="30"/>
      <c r="AM703" s="31"/>
    </row>
    <row r="704" spans="1:39" ht="12.75">
      <c r="A704" s="30"/>
      <c r="C704" s="31"/>
      <c r="D704" s="32"/>
      <c r="F704" s="31"/>
      <c r="G704" s="30"/>
      <c r="I704" s="31"/>
      <c r="AK704" s="30"/>
      <c r="AM704" s="31"/>
    </row>
    <row r="705" spans="1:39" ht="12.75">
      <c r="A705" s="30"/>
      <c r="C705" s="31"/>
      <c r="D705" s="32"/>
      <c r="F705" s="31"/>
      <c r="G705" s="30"/>
      <c r="I705" s="31"/>
      <c r="AK705" s="30"/>
      <c r="AM705" s="31"/>
    </row>
    <row r="706" spans="1:39" ht="12.75">
      <c r="A706" s="30"/>
      <c r="C706" s="31"/>
      <c r="D706" s="32"/>
      <c r="F706" s="31"/>
      <c r="G706" s="30"/>
      <c r="I706" s="31"/>
      <c r="AK706" s="30"/>
      <c r="AM706" s="31"/>
    </row>
    <row r="707" spans="1:39" ht="12.75">
      <c r="A707" s="30"/>
      <c r="C707" s="31"/>
      <c r="D707" s="32"/>
      <c r="F707" s="31"/>
      <c r="G707" s="30"/>
      <c r="I707" s="31"/>
      <c r="AK707" s="30"/>
      <c r="AM707" s="31"/>
    </row>
    <row r="708" spans="1:39" ht="12.75">
      <c r="A708" s="30"/>
      <c r="C708" s="31"/>
      <c r="D708" s="32"/>
      <c r="F708" s="31"/>
      <c r="G708" s="30"/>
      <c r="I708" s="31"/>
      <c r="AK708" s="30"/>
      <c r="AM708" s="31"/>
    </row>
    <row r="709" spans="1:39" ht="12.75">
      <c r="A709" s="30"/>
      <c r="C709" s="31"/>
      <c r="D709" s="32"/>
      <c r="F709" s="31"/>
      <c r="G709" s="30"/>
      <c r="I709" s="31"/>
      <c r="AK709" s="30"/>
      <c r="AM709" s="31"/>
    </row>
    <row r="710" spans="1:39" ht="12.75">
      <c r="A710" s="30"/>
      <c r="C710" s="31"/>
      <c r="D710" s="32"/>
      <c r="F710" s="31"/>
      <c r="G710" s="30"/>
      <c r="I710" s="31"/>
      <c r="AK710" s="30"/>
      <c r="AM710" s="31"/>
    </row>
    <row r="711" spans="1:39" ht="12.75">
      <c r="A711" s="30"/>
      <c r="C711" s="31"/>
      <c r="D711" s="32"/>
      <c r="F711" s="31"/>
      <c r="G711" s="30"/>
      <c r="I711" s="31"/>
      <c r="AK711" s="30"/>
      <c r="AM711" s="31"/>
    </row>
    <row r="712" spans="1:39" ht="12.75">
      <c r="A712" s="30"/>
      <c r="C712" s="31"/>
      <c r="D712" s="32"/>
      <c r="F712" s="31"/>
      <c r="G712" s="30"/>
      <c r="I712" s="31"/>
      <c r="AK712" s="30"/>
      <c r="AM712" s="31"/>
    </row>
    <row r="713" spans="1:39" ht="12.75">
      <c r="A713" s="30"/>
      <c r="C713" s="31"/>
      <c r="D713" s="32"/>
      <c r="F713" s="31"/>
      <c r="G713" s="30"/>
      <c r="I713" s="31"/>
      <c r="AK713" s="30"/>
      <c r="AM713" s="31"/>
    </row>
    <row r="714" spans="1:39" ht="12.75">
      <c r="A714" s="30"/>
      <c r="C714" s="31"/>
      <c r="D714" s="32"/>
      <c r="F714" s="31"/>
      <c r="G714" s="30"/>
      <c r="I714" s="31"/>
      <c r="AK714" s="30"/>
      <c r="AM714" s="31"/>
    </row>
    <row r="715" spans="1:39" ht="12.75">
      <c r="A715" s="30"/>
      <c r="C715" s="31"/>
      <c r="D715" s="32"/>
      <c r="F715" s="31"/>
      <c r="G715" s="30"/>
      <c r="I715" s="31"/>
      <c r="AK715" s="30"/>
      <c r="AM715" s="31"/>
    </row>
    <row r="716" spans="1:39" ht="12.75">
      <c r="A716" s="30"/>
      <c r="C716" s="31"/>
      <c r="D716" s="32"/>
      <c r="F716" s="31"/>
      <c r="G716" s="30"/>
      <c r="I716" s="31"/>
      <c r="AK716" s="30"/>
      <c r="AM716" s="31"/>
    </row>
    <row r="717" spans="1:39" ht="12.75">
      <c r="A717" s="30"/>
      <c r="C717" s="31"/>
      <c r="D717" s="32"/>
      <c r="F717" s="31"/>
      <c r="G717" s="30"/>
      <c r="I717" s="31"/>
      <c r="AK717" s="30"/>
      <c r="AM717" s="31"/>
    </row>
    <row r="718" spans="1:39" ht="12.75">
      <c r="A718" s="30"/>
      <c r="C718" s="31"/>
      <c r="D718" s="32"/>
      <c r="F718" s="31"/>
      <c r="G718" s="30"/>
      <c r="I718" s="31"/>
      <c r="AK718" s="30"/>
      <c r="AM718" s="31"/>
    </row>
    <row r="719" spans="1:39" ht="12.75">
      <c r="A719" s="30"/>
      <c r="C719" s="31"/>
      <c r="D719" s="32"/>
      <c r="F719" s="31"/>
      <c r="G719" s="30"/>
      <c r="I719" s="31"/>
      <c r="AK719" s="30"/>
      <c r="AM719" s="31"/>
    </row>
    <row r="720" spans="1:39" ht="12.75">
      <c r="A720" s="30"/>
      <c r="C720" s="31"/>
      <c r="D720" s="32"/>
      <c r="F720" s="31"/>
      <c r="G720" s="30"/>
      <c r="I720" s="31"/>
      <c r="AK720" s="30"/>
      <c r="AM720" s="31"/>
    </row>
    <row r="721" spans="1:39" ht="12.75">
      <c r="A721" s="30"/>
      <c r="C721" s="31"/>
      <c r="D721" s="32"/>
      <c r="F721" s="31"/>
      <c r="G721" s="30"/>
      <c r="I721" s="31"/>
      <c r="AK721" s="30"/>
      <c r="AM721" s="31"/>
    </row>
    <row r="722" spans="1:39" ht="12.75">
      <c r="A722" s="30"/>
      <c r="C722" s="31"/>
      <c r="D722" s="32"/>
      <c r="F722" s="31"/>
      <c r="G722" s="30"/>
      <c r="I722" s="31"/>
      <c r="AK722" s="30"/>
      <c r="AM722" s="31"/>
    </row>
    <row r="723" spans="1:39" ht="12.75">
      <c r="A723" s="30"/>
      <c r="C723" s="31"/>
      <c r="D723" s="32"/>
      <c r="F723" s="31"/>
      <c r="G723" s="30"/>
      <c r="I723" s="31"/>
      <c r="AK723" s="30"/>
      <c r="AM723" s="31"/>
    </row>
    <row r="724" spans="1:39" ht="12.75">
      <c r="A724" s="30"/>
      <c r="C724" s="31"/>
      <c r="D724" s="32"/>
      <c r="F724" s="31"/>
      <c r="G724" s="30"/>
      <c r="I724" s="31"/>
      <c r="AK724" s="30"/>
      <c r="AM724" s="31"/>
    </row>
    <row r="725" spans="1:39" ht="12.75">
      <c r="A725" s="30"/>
      <c r="C725" s="31"/>
      <c r="D725" s="32"/>
      <c r="F725" s="31"/>
      <c r="G725" s="30"/>
      <c r="I725" s="31"/>
      <c r="AK725" s="30"/>
      <c r="AM725" s="31"/>
    </row>
    <row r="726" spans="1:39" ht="12.75">
      <c r="A726" s="30"/>
      <c r="C726" s="31"/>
      <c r="D726" s="32"/>
      <c r="F726" s="31"/>
      <c r="G726" s="30"/>
      <c r="I726" s="31"/>
      <c r="AK726" s="30"/>
      <c r="AM726" s="31"/>
    </row>
    <row r="727" spans="1:39" ht="12.75">
      <c r="A727" s="30"/>
      <c r="C727" s="31"/>
      <c r="D727" s="32"/>
      <c r="F727" s="31"/>
      <c r="G727" s="30"/>
      <c r="I727" s="31"/>
      <c r="AK727" s="30"/>
      <c r="AM727" s="31"/>
    </row>
    <row r="728" spans="1:39" ht="12.75">
      <c r="A728" s="30"/>
      <c r="C728" s="31"/>
      <c r="D728" s="32"/>
      <c r="F728" s="31"/>
      <c r="G728" s="30"/>
      <c r="I728" s="31"/>
      <c r="AK728" s="30"/>
      <c r="AM728" s="31"/>
    </row>
    <row r="729" spans="1:39" ht="12.75">
      <c r="A729" s="30"/>
      <c r="C729" s="31"/>
      <c r="D729" s="32"/>
      <c r="F729" s="31"/>
      <c r="G729" s="30"/>
      <c r="I729" s="31"/>
      <c r="AK729" s="30"/>
      <c r="AM729" s="31"/>
    </row>
    <row r="730" spans="1:39" ht="12.75">
      <c r="A730" s="30"/>
      <c r="C730" s="31"/>
      <c r="D730" s="32"/>
      <c r="F730" s="31"/>
      <c r="G730" s="30"/>
      <c r="I730" s="31"/>
      <c r="AK730" s="30"/>
      <c r="AM730" s="31"/>
    </row>
    <row r="731" spans="1:39" ht="12.75">
      <c r="A731" s="30"/>
      <c r="C731" s="31"/>
      <c r="D731" s="32"/>
      <c r="F731" s="31"/>
      <c r="G731" s="30"/>
      <c r="I731" s="31"/>
      <c r="AK731" s="30"/>
      <c r="AM731" s="31"/>
    </row>
    <row r="732" spans="1:39" ht="12.75">
      <c r="A732" s="30"/>
      <c r="C732" s="31"/>
      <c r="D732" s="32"/>
      <c r="F732" s="31"/>
      <c r="G732" s="30"/>
      <c r="I732" s="31"/>
      <c r="AK732" s="30"/>
      <c r="AM732" s="31"/>
    </row>
    <row r="733" spans="1:39" ht="12.75">
      <c r="A733" s="30"/>
      <c r="C733" s="31"/>
      <c r="D733" s="32"/>
      <c r="F733" s="31"/>
      <c r="G733" s="30"/>
      <c r="I733" s="31"/>
      <c r="AK733" s="30"/>
      <c r="AM733" s="31"/>
    </row>
    <row r="734" spans="1:39" ht="12.75">
      <c r="A734" s="30"/>
      <c r="C734" s="31"/>
      <c r="D734" s="32"/>
      <c r="F734" s="31"/>
      <c r="G734" s="30"/>
      <c r="I734" s="31"/>
      <c r="AK734" s="30"/>
      <c r="AM734" s="31"/>
    </row>
    <row r="735" spans="1:39" ht="12.75">
      <c r="A735" s="30"/>
      <c r="C735" s="31"/>
      <c r="D735" s="32"/>
      <c r="F735" s="31"/>
      <c r="G735" s="30"/>
      <c r="I735" s="31"/>
      <c r="AK735" s="30"/>
      <c r="AM735" s="31"/>
    </row>
    <row r="736" spans="1:39" ht="12.75">
      <c r="A736" s="30"/>
      <c r="C736" s="31"/>
      <c r="D736" s="32"/>
      <c r="F736" s="31"/>
      <c r="G736" s="30"/>
      <c r="I736" s="31"/>
      <c r="AK736" s="30"/>
      <c r="AM736" s="31"/>
    </row>
    <row r="737" spans="1:39" ht="12.75">
      <c r="A737" s="30"/>
      <c r="C737" s="31"/>
      <c r="D737" s="32"/>
      <c r="F737" s="31"/>
      <c r="G737" s="30"/>
      <c r="I737" s="31"/>
      <c r="AK737" s="30"/>
      <c r="AM737" s="31"/>
    </row>
    <row r="738" spans="1:39" ht="12.75">
      <c r="A738" s="30"/>
      <c r="C738" s="31"/>
      <c r="D738" s="32"/>
      <c r="F738" s="31"/>
      <c r="G738" s="30"/>
      <c r="I738" s="31"/>
      <c r="AK738" s="30"/>
      <c r="AM738" s="31"/>
    </row>
    <row r="739" spans="1:39" ht="12.75">
      <c r="A739" s="30"/>
      <c r="C739" s="31"/>
      <c r="D739" s="32"/>
      <c r="F739" s="31"/>
      <c r="G739" s="30"/>
      <c r="I739" s="31"/>
      <c r="AK739" s="30"/>
      <c r="AM739" s="31"/>
    </row>
    <row r="740" spans="1:39" ht="12.75">
      <c r="A740" s="30"/>
      <c r="C740" s="31"/>
      <c r="D740" s="32"/>
      <c r="F740" s="31"/>
      <c r="G740" s="30"/>
      <c r="I740" s="31"/>
      <c r="AK740" s="30"/>
      <c r="AM740" s="31"/>
    </row>
    <row r="741" spans="1:39" ht="12.75">
      <c r="A741" s="30"/>
      <c r="C741" s="31"/>
      <c r="D741" s="32"/>
      <c r="F741" s="31"/>
      <c r="G741" s="30"/>
      <c r="I741" s="31"/>
      <c r="AK741" s="30"/>
      <c r="AM741" s="31"/>
    </row>
    <row r="742" spans="1:39" ht="12.75">
      <c r="A742" s="30"/>
      <c r="C742" s="31"/>
      <c r="D742" s="32"/>
      <c r="F742" s="31"/>
      <c r="G742" s="30"/>
      <c r="I742" s="31"/>
      <c r="AK742" s="30"/>
      <c r="AM742" s="31"/>
    </row>
    <row r="743" spans="1:39" ht="12.75">
      <c r="A743" s="30"/>
      <c r="C743" s="31"/>
      <c r="D743" s="32"/>
      <c r="F743" s="31"/>
      <c r="G743" s="30"/>
      <c r="I743" s="31"/>
      <c r="AK743" s="30"/>
      <c r="AM743" s="31"/>
    </row>
    <row r="744" spans="1:39" ht="12.75">
      <c r="A744" s="30"/>
      <c r="C744" s="31"/>
      <c r="D744" s="32"/>
      <c r="F744" s="31"/>
      <c r="G744" s="30"/>
      <c r="I744" s="31"/>
      <c r="AK744" s="30"/>
      <c r="AM744" s="31"/>
    </row>
    <row r="745" spans="1:39" ht="12.75">
      <c r="A745" s="30"/>
      <c r="C745" s="31"/>
      <c r="D745" s="32"/>
      <c r="F745" s="31"/>
      <c r="G745" s="30"/>
      <c r="I745" s="31"/>
      <c r="AK745" s="30"/>
      <c r="AM745" s="31"/>
    </row>
    <row r="746" spans="1:39" ht="12.75">
      <c r="A746" s="30"/>
      <c r="C746" s="31"/>
      <c r="D746" s="32"/>
      <c r="F746" s="31"/>
      <c r="G746" s="30"/>
      <c r="I746" s="31"/>
      <c r="AK746" s="30"/>
      <c r="AM746" s="31"/>
    </row>
    <row r="747" spans="1:39" ht="12.75">
      <c r="A747" s="30"/>
      <c r="C747" s="31"/>
      <c r="D747" s="32"/>
      <c r="F747" s="31"/>
      <c r="G747" s="30"/>
      <c r="I747" s="31"/>
      <c r="AK747" s="30"/>
      <c r="AM747" s="31"/>
    </row>
    <row r="748" spans="1:39" ht="12.75">
      <c r="A748" s="30"/>
      <c r="C748" s="31"/>
      <c r="D748" s="32"/>
      <c r="F748" s="31"/>
      <c r="G748" s="30"/>
      <c r="I748" s="31"/>
      <c r="AK748" s="30"/>
      <c r="AM748" s="31"/>
    </row>
    <row r="749" spans="1:39" ht="12.75">
      <c r="A749" s="30"/>
      <c r="C749" s="31"/>
      <c r="D749" s="32"/>
      <c r="F749" s="31"/>
      <c r="G749" s="30"/>
      <c r="I749" s="31"/>
      <c r="AK749" s="30"/>
      <c r="AM749" s="31"/>
    </row>
    <row r="750" spans="1:39" ht="12.75">
      <c r="A750" s="30"/>
      <c r="C750" s="31"/>
      <c r="D750" s="32"/>
      <c r="F750" s="31"/>
      <c r="G750" s="30"/>
      <c r="I750" s="31"/>
      <c r="AK750" s="30"/>
      <c r="AM750" s="31"/>
    </row>
    <row r="751" spans="1:39" ht="12.75">
      <c r="A751" s="30"/>
      <c r="C751" s="31"/>
      <c r="D751" s="32"/>
      <c r="F751" s="31"/>
      <c r="G751" s="30"/>
      <c r="I751" s="31"/>
      <c r="AK751" s="30"/>
      <c r="AM751" s="31"/>
    </row>
    <row r="752" spans="1:39" ht="12.75">
      <c r="A752" s="30"/>
      <c r="C752" s="31"/>
      <c r="D752" s="32"/>
      <c r="F752" s="31"/>
      <c r="G752" s="30"/>
      <c r="I752" s="31"/>
      <c r="AK752" s="30"/>
      <c r="AM752" s="31"/>
    </row>
    <row r="753" spans="1:39" ht="12.75">
      <c r="A753" s="30"/>
      <c r="C753" s="31"/>
      <c r="D753" s="32"/>
      <c r="F753" s="31"/>
      <c r="G753" s="30"/>
      <c r="I753" s="31"/>
      <c r="AK753" s="30"/>
      <c r="AM753" s="31"/>
    </row>
    <row r="754" spans="1:39" ht="12.75">
      <c r="A754" s="30"/>
      <c r="C754" s="31"/>
      <c r="D754" s="32"/>
      <c r="F754" s="31"/>
      <c r="G754" s="30"/>
      <c r="I754" s="31"/>
      <c r="AK754" s="30"/>
      <c r="AM754" s="31"/>
    </row>
    <row r="755" spans="1:39" ht="12.75">
      <c r="A755" s="30"/>
      <c r="C755" s="31"/>
      <c r="D755" s="32"/>
      <c r="F755" s="31"/>
      <c r="G755" s="30"/>
      <c r="I755" s="31"/>
      <c r="AK755" s="30"/>
      <c r="AM755" s="31"/>
    </row>
    <row r="756" spans="1:39" ht="12.75">
      <c r="A756" s="30"/>
      <c r="C756" s="31"/>
      <c r="D756" s="32"/>
      <c r="F756" s="31"/>
      <c r="G756" s="30"/>
      <c r="I756" s="31"/>
      <c r="AK756" s="30"/>
      <c r="AM756" s="31"/>
    </row>
    <row r="757" spans="1:39" ht="12.75">
      <c r="A757" s="30"/>
      <c r="C757" s="31"/>
      <c r="D757" s="32"/>
      <c r="F757" s="31"/>
      <c r="G757" s="30"/>
      <c r="I757" s="31"/>
      <c r="AK757" s="30"/>
      <c r="AM757" s="31"/>
    </row>
    <row r="758" spans="1:39" ht="12.75">
      <c r="A758" s="30"/>
      <c r="C758" s="31"/>
      <c r="D758" s="32"/>
      <c r="F758" s="31"/>
      <c r="G758" s="30"/>
      <c r="I758" s="31"/>
      <c r="AK758" s="30"/>
      <c r="AM758" s="31"/>
    </row>
    <row r="759" spans="1:39" ht="12.75">
      <c r="A759" s="30"/>
      <c r="C759" s="31"/>
      <c r="D759" s="32"/>
      <c r="F759" s="31"/>
      <c r="G759" s="30"/>
      <c r="I759" s="31"/>
      <c r="AK759" s="30"/>
      <c r="AM759" s="31"/>
    </row>
    <row r="760" spans="1:39" ht="12.75">
      <c r="A760" s="30"/>
      <c r="C760" s="31"/>
      <c r="D760" s="32"/>
      <c r="F760" s="31"/>
      <c r="G760" s="30"/>
      <c r="I760" s="31"/>
      <c r="AK760" s="30"/>
      <c r="AM760" s="31"/>
    </row>
    <row r="761" spans="1:39" ht="12.75">
      <c r="A761" s="30"/>
      <c r="C761" s="31"/>
      <c r="D761" s="32"/>
      <c r="F761" s="31"/>
      <c r="G761" s="30"/>
      <c r="I761" s="31"/>
      <c r="AK761" s="30"/>
      <c r="AM761" s="31"/>
    </row>
    <row r="762" spans="1:39" ht="12.75">
      <c r="A762" s="30"/>
      <c r="C762" s="31"/>
      <c r="D762" s="32"/>
      <c r="F762" s="31"/>
      <c r="G762" s="30"/>
      <c r="I762" s="31"/>
      <c r="AK762" s="30"/>
      <c r="AM762" s="31"/>
    </row>
    <row r="763" spans="1:39" ht="12.75">
      <c r="A763" s="30"/>
      <c r="C763" s="31"/>
      <c r="D763" s="32"/>
      <c r="F763" s="31"/>
      <c r="G763" s="30"/>
      <c r="I763" s="31"/>
      <c r="AK763" s="30"/>
      <c r="AM763" s="31"/>
    </row>
    <row r="764" spans="1:39" ht="12.75">
      <c r="A764" s="30"/>
      <c r="C764" s="31"/>
      <c r="D764" s="32"/>
      <c r="F764" s="31"/>
      <c r="G764" s="30"/>
      <c r="I764" s="31"/>
      <c r="AK764" s="30"/>
      <c r="AM764" s="31"/>
    </row>
    <row r="765" spans="1:39" ht="12.75">
      <c r="A765" s="30"/>
      <c r="C765" s="31"/>
      <c r="D765" s="32"/>
      <c r="F765" s="31"/>
      <c r="G765" s="30"/>
      <c r="I765" s="31"/>
      <c r="AK765" s="30"/>
      <c r="AM765" s="31"/>
    </row>
    <row r="766" spans="1:39" ht="12.75">
      <c r="A766" s="30"/>
      <c r="C766" s="31"/>
      <c r="D766" s="32"/>
      <c r="F766" s="31"/>
      <c r="G766" s="30"/>
      <c r="I766" s="31"/>
      <c r="AK766" s="30"/>
      <c r="AM766" s="31"/>
    </row>
    <row r="767" spans="1:39" ht="12.75">
      <c r="A767" s="30"/>
      <c r="C767" s="31"/>
      <c r="D767" s="32"/>
      <c r="F767" s="31"/>
      <c r="G767" s="30"/>
      <c r="I767" s="31"/>
      <c r="AK767" s="30"/>
      <c r="AM767" s="31"/>
    </row>
    <row r="768" spans="1:39" ht="12.75">
      <c r="A768" s="30"/>
      <c r="C768" s="31"/>
      <c r="D768" s="32"/>
      <c r="F768" s="31"/>
      <c r="G768" s="30"/>
      <c r="I768" s="31"/>
      <c r="AK768" s="30"/>
      <c r="AM768" s="31"/>
    </row>
    <row r="769" spans="1:39" ht="12.75">
      <c r="A769" s="30"/>
      <c r="C769" s="31"/>
      <c r="D769" s="32"/>
      <c r="F769" s="31"/>
      <c r="G769" s="30"/>
      <c r="I769" s="31"/>
      <c r="AK769" s="30"/>
      <c r="AM769" s="31"/>
    </row>
    <row r="770" spans="1:39" ht="12.75">
      <c r="A770" s="30"/>
      <c r="C770" s="31"/>
      <c r="D770" s="32"/>
      <c r="F770" s="31"/>
      <c r="G770" s="30"/>
      <c r="I770" s="31"/>
      <c r="AK770" s="30"/>
      <c r="AM770" s="31"/>
    </row>
    <row r="771" spans="1:39" ht="12.75">
      <c r="A771" s="30"/>
      <c r="C771" s="31"/>
      <c r="D771" s="32"/>
      <c r="F771" s="31"/>
      <c r="G771" s="30"/>
      <c r="I771" s="31"/>
      <c r="AK771" s="30"/>
      <c r="AM771" s="31"/>
    </row>
    <row r="772" spans="1:39" ht="12.75">
      <c r="A772" s="30"/>
      <c r="C772" s="31"/>
      <c r="D772" s="32"/>
      <c r="F772" s="31"/>
      <c r="G772" s="30"/>
      <c r="I772" s="31"/>
      <c r="AK772" s="30"/>
      <c r="AM772" s="31"/>
    </row>
    <row r="773" spans="1:39" ht="12.75">
      <c r="A773" s="30"/>
      <c r="C773" s="31"/>
      <c r="D773" s="32"/>
      <c r="F773" s="31"/>
      <c r="G773" s="30"/>
      <c r="I773" s="31"/>
      <c r="AK773" s="30"/>
      <c r="AM773" s="31"/>
    </row>
    <row r="774" spans="1:39" ht="12.75">
      <c r="A774" s="30"/>
      <c r="C774" s="31"/>
      <c r="D774" s="32"/>
      <c r="F774" s="31"/>
      <c r="G774" s="30"/>
      <c r="I774" s="31"/>
      <c r="AK774" s="30"/>
      <c r="AM774" s="31"/>
    </row>
    <row r="775" spans="1:39" ht="12.75">
      <c r="A775" s="30"/>
      <c r="C775" s="31"/>
      <c r="D775" s="32"/>
      <c r="F775" s="31"/>
      <c r="G775" s="30"/>
      <c r="I775" s="31"/>
      <c r="AK775" s="30"/>
      <c r="AM775" s="31"/>
    </row>
    <row r="776" spans="1:39" ht="12.75">
      <c r="A776" s="30"/>
      <c r="C776" s="31"/>
      <c r="D776" s="32"/>
      <c r="F776" s="31"/>
      <c r="G776" s="30"/>
      <c r="I776" s="31"/>
      <c r="AK776" s="30"/>
      <c r="AM776" s="31"/>
    </row>
    <row r="777" spans="1:39" ht="12.75">
      <c r="A777" s="30"/>
      <c r="C777" s="31"/>
      <c r="D777" s="32"/>
      <c r="F777" s="31"/>
      <c r="G777" s="30"/>
      <c r="I777" s="31"/>
      <c r="AK777" s="30"/>
      <c r="AM777" s="31"/>
    </row>
    <row r="778" spans="1:39" ht="12.75">
      <c r="A778" s="30"/>
      <c r="C778" s="31"/>
      <c r="D778" s="32"/>
      <c r="F778" s="31"/>
      <c r="G778" s="30"/>
      <c r="I778" s="31"/>
      <c r="AK778" s="30"/>
      <c r="AM778" s="31"/>
    </row>
    <row r="779" spans="1:39" ht="12.75">
      <c r="A779" s="30"/>
      <c r="C779" s="31"/>
      <c r="D779" s="32"/>
      <c r="F779" s="31"/>
      <c r="G779" s="30"/>
      <c r="I779" s="31"/>
      <c r="AK779" s="30"/>
      <c r="AM779" s="31"/>
    </row>
    <row r="780" spans="1:39" ht="12.75">
      <c r="A780" s="30"/>
      <c r="C780" s="31"/>
      <c r="D780" s="32"/>
      <c r="F780" s="31"/>
      <c r="G780" s="30"/>
      <c r="I780" s="31"/>
      <c r="AK780" s="30"/>
      <c r="AM780" s="31"/>
    </row>
    <row r="781" spans="1:39" ht="12.75">
      <c r="A781" s="30"/>
      <c r="C781" s="31"/>
      <c r="D781" s="32"/>
      <c r="F781" s="31"/>
      <c r="G781" s="30"/>
      <c r="I781" s="31"/>
      <c r="AK781" s="30"/>
      <c r="AM781" s="31"/>
    </row>
    <row r="782" spans="1:39" ht="12.75">
      <c r="A782" s="30"/>
      <c r="C782" s="31"/>
      <c r="D782" s="32"/>
      <c r="F782" s="31"/>
      <c r="G782" s="30"/>
      <c r="I782" s="31"/>
      <c r="AK782" s="30"/>
      <c r="AM782" s="31"/>
    </row>
    <row r="783" spans="1:39" ht="12.75">
      <c r="A783" s="30"/>
      <c r="C783" s="31"/>
      <c r="D783" s="32"/>
      <c r="F783" s="31"/>
      <c r="G783" s="30"/>
      <c r="I783" s="31"/>
      <c r="AK783" s="30"/>
      <c r="AM783" s="31"/>
    </row>
    <row r="784" spans="1:39" ht="12.75">
      <c r="A784" s="30"/>
      <c r="C784" s="31"/>
      <c r="D784" s="32"/>
      <c r="F784" s="31"/>
      <c r="G784" s="30"/>
      <c r="I784" s="31"/>
      <c r="AK784" s="30"/>
      <c r="AM784" s="31"/>
    </row>
    <row r="785" spans="1:39" ht="12.75">
      <c r="A785" s="30"/>
      <c r="C785" s="31"/>
      <c r="D785" s="32"/>
      <c r="F785" s="31"/>
      <c r="G785" s="30"/>
      <c r="I785" s="31"/>
      <c r="AK785" s="30"/>
      <c r="AM785" s="31"/>
    </row>
    <row r="786" spans="1:39" ht="12.75">
      <c r="A786" s="30"/>
      <c r="C786" s="31"/>
      <c r="D786" s="32"/>
      <c r="F786" s="31"/>
      <c r="G786" s="30"/>
      <c r="I786" s="31"/>
      <c r="AK786" s="30"/>
      <c r="AM786" s="31"/>
    </row>
    <row r="787" spans="1:39" ht="12.75">
      <c r="A787" s="30"/>
      <c r="C787" s="31"/>
      <c r="D787" s="32"/>
      <c r="F787" s="31"/>
      <c r="G787" s="30"/>
      <c r="I787" s="31"/>
      <c r="AK787" s="30"/>
      <c r="AM787" s="31"/>
    </row>
    <row r="788" spans="1:39" ht="12.75">
      <c r="A788" s="30"/>
      <c r="C788" s="31"/>
      <c r="D788" s="32"/>
      <c r="F788" s="31"/>
      <c r="G788" s="30"/>
      <c r="I788" s="31"/>
      <c r="AK788" s="30"/>
      <c r="AM788" s="31"/>
    </row>
    <row r="789" spans="1:39" ht="12.75">
      <c r="A789" s="30"/>
      <c r="C789" s="31"/>
      <c r="D789" s="32"/>
      <c r="F789" s="31"/>
      <c r="G789" s="30"/>
      <c r="I789" s="31"/>
      <c r="AK789" s="30"/>
      <c r="AM789" s="31"/>
    </row>
    <row r="790" spans="1:39" ht="12.75">
      <c r="A790" s="30"/>
      <c r="C790" s="31"/>
      <c r="D790" s="32"/>
      <c r="F790" s="31"/>
      <c r="G790" s="30"/>
      <c r="I790" s="31"/>
      <c r="AK790" s="30"/>
      <c r="AM790" s="31"/>
    </row>
    <row r="791" spans="1:39" ht="12.75">
      <c r="A791" s="30"/>
      <c r="C791" s="31"/>
      <c r="D791" s="32"/>
      <c r="F791" s="31"/>
      <c r="G791" s="30"/>
      <c r="I791" s="31"/>
      <c r="AK791" s="30"/>
      <c r="AM791" s="31"/>
    </row>
    <row r="792" spans="1:39" ht="12.75">
      <c r="A792" s="30"/>
      <c r="C792" s="31"/>
      <c r="D792" s="32"/>
      <c r="F792" s="31"/>
      <c r="G792" s="30"/>
      <c r="I792" s="31"/>
      <c r="AK792" s="30"/>
      <c r="AM792" s="31"/>
    </row>
    <row r="793" spans="1:39" ht="12.75">
      <c r="A793" s="30"/>
      <c r="C793" s="31"/>
      <c r="D793" s="32"/>
      <c r="F793" s="31"/>
      <c r="G793" s="30"/>
      <c r="I793" s="31"/>
      <c r="AK793" s="30"/>
      <c r="AM793" s="31"/>
    </row>
    <row r="794" spans="1:39" ht="12.75">
      <c r="A794" s="30"/>
      <c r="C794" s="31"/>
      <c r="D794" s="32"/>
      <c r="F794" s="31"/>
      <c r="G794" s="30"/>
      <c r="I794" s="31"/>
      <c r="AK794" s="30"/>
      <c r="AM794" s="31"/>
    </row>
    <row r="795" spans="1:39" ht="12.75">
      <c r="A795" s="30"/>
      <c r="C795" s="31"/>
      <c r="D795" s="32"/>
      <c r="F795" s="31"/>
      <c r="G795" s="30"/>
      <c r="I795" s="31"/>
      <c r="AK795" s="30"/>
      <c r="AM795" s="31"/>
    </row>
    <row r="796" spans="1:39" ht="12.75">
      <c r="A796" s="30"/>
      <c r="C796" s="31"/>
      <c r="D796" s="32"/>
      <c r="F796" s="31"/>
      <c r="G796" s="30"/>
      <c r="I796" s="31"/>
      <c r="AK796" s="30"/>
      <c r="AM796" s="31"/>
    </row>
    <row r="797" spans="1:39" ht="12.75">
      <c r="A797" s="30"/>
      <c r="C797" s="31"/>
      <c r="D797" s="32"/>
      <c r="F797" s="31"/>
      <c r="G797" s="30"/>
      <c r="I797" s="31"/>
      <c r="AK797" s="30"/>
      <c r="AM797" s="31"/>
    </row>
    <row r="798" spans="1:39" ht="12.75">
      <c r="A798" s="30"/>
      <c r="C798" s="31"/>
      <c r="D798" s="32"/>
      <c r="F798" s="31"/>
      <c r="G798" s="30"/>
      <c r="I798" s="31"/>
      <c r="AK798" s="30"/>
      <c r="AM798" s="31"/>
    </row>
    <row r="799" spans="1:39" ht="12.75">
      <c r="A799" s="30"/>
      <c r="C799" s="31"/>
      <c r="D799" s="32"/>
      <c r="F799" s="31"/>
      <c r="G799" s="30"/>
      <c r="I799" s="31"/>
      <c r="AK799" s="30"/>
      <c r="AM799" s="31"/>
    </row>
    <row r="800" spans="1:39" ht="12.75">
      <c r="A800" s="30"/>
      <c r="C800" s="31"/>
      <c r="D800" s="32"/>
      <c r="F800" s="31"/>
      <c r="G800" s="30"/>
      <c r="I800" s="31"/>
      <c r="AK800" s="30"/>
      <c r="AM800" s="31"/>
    </row>
    <row r="801" spans="1:39" ht="12.75">
      <c r="A801" s="30"/>
      <c r="C801" s="31"/>
      <c r="D801" s="32"/>
      <c r="F801" s="31"/>
      <c r="G801" s="30"/>
      <c r="I801" s="31"/>
      <c r="AK801" s="30"/>
      <c r="AM801" s="31"/>
    </row>
    <row r="802" spans="1:39" ht="12.75">
      <c r="A802" s="30"/>
      <c r="C802" s="31"/>
      <c r="D802" s="32"/>
      <c r="F802" s="31"/>
      <c r="G802" s="30"/>
      <c r="I802" s="31"/>
      <c r="AK802" s="30"/>
      <c r="AM802" s="31"/>
    </row>
    <row r="803" spans="1:39" ht="12.75">
      <c r="A803" s="30"/>
      <c r="C803" s="31"/>
      <c r="D803" s="32"/>
      <c r="F803" s="31"/>
      <c r="G803" s="30"/>
      <c r="I803" s="31"/>
      <c r="AK803" s="30"/>
      <c r="AM803" s="31"/>
    </row>
    <row r="804" spans="1:39" ht="12.75">
      <c r="A804" s="30"/>
      <c r="C804" s="31"/>
      <c r="D804" s="32"/>
      <c r="F804" s="31"/>
      <c r="G804" s="30"/>
      <c r="I804" s="31"/>
      <c r="AK804" s="30"/>
      <c r="AM804" s="31"/>
    </row>
    <row r="805" spans="1:39" ht="12.75">
      <c r="A805" s="30"/>
      <c r="C805" s="31"/>
      <c r="D805" s="32"/>
      <c r="F805" s="31"/>
      <c r="G805" s="30"/>
      <c r="I805" s="31"/>
      <c r="AK805" s="30"/>
      <c r="AM805" s="31"/>
    </row>
    <row r="806" spans="1:39" ht="12.75">
      <c r="A806" s="30"/>
      <c r="C806" s="31"/>
      <c r="D806" s="32"/>
      <c r="F806" s="31"/>
      <c r="G806" s="30"/>
      <c r="I806" s="31"/>
      <c r="AK806" s="30"/>
      <c r="AM806" s="31"/>
    </row>
    <row r="807" spans="1:39" ht="12.75">
      <c r="A807" s="30"/>
      <c r="C807" s="31"/>
      <c r="D807" s="32"/>
      <c r="F807" s="31"/>
      <c r="G807" s="30"/>
      <c r="I807" s="31"/>
      <c r="AK807" s="30"/>
      <c r="AM807" s="31"/>
    </row>
    <row r="808" spans="1:39" ht="12.75">
      <c r="A808" s="30"/>
      <c r="C808" s="31"/>
      <c r="D808" s="32"/>
      <c r="F808" s="31"/>
      <c r="G808" s="30"/>
      <c r="I808" s="31"/>
      <c r="AK808" s="30"/>
      <c r="AM808" s="31"/>
    </row>
    <row r="809" spans="1:39" ht="12.75">
      <c r="A809" s="30"/>
      <c r="C809" s="31"/>
      <c r="D809" s="32"/>
      <c r="F809" s="31"/>
      <c r="G809" s="30"/>
      <c r="I809" s="31"/>
      <c r="AK809" s="30"/>
      <c r="AM809" s="31"/>
    </row>
    <row r="810" spans="1:39" ht="12.75">
      <c r="A810" s="30"/>
      <c r="C810" s="31"/>
      <c r="D810" s="32"/>
      <c r="F810" s="31"/>
      <c r="G810" s="30"/>
      <c r="I810" s="31"/>
      <c r="AK810" s="30"/>
      <c r="AM810" s="31"/>
    </row>
    <row r="811" spans="1:39" ht="12.75">
      <c r="A811" s="30"/>
      <c r="C811" s="31"/>
      <c r="D811" s="32"/>
      <c r="F811" s="31"/>
      <c r="G811" s="30"/>
      <c r="I811" s="31"/>
      <c r="AK811" s="30"/>
      <c r="AM811" s="31"/>
    </row>
    <row r="812" spans="1:39" ht="12.75">
      <c r="A812" s="30"/>
      <c r="C812" s="31"/>
      <c r="D812" s="32"/>
      <c r="F812" s="31"/>
      <c r="G812" s="30"/>
      <c r="I812" s="31"/>
      <c r="AK812" s="30"/>
      <c r="AM812" s="31"/>
    </row>
    <row r="813" spans="1:39" ht="12.75">
      <c r="A813" s="30"/>
      <c r="C813" s="31"/>
      <c r="D813" s="32"/>
      <c r="F813" s="31"/>
      <c r="G813" s="30"/>
      <c r="I813" s="31"/>
      <c r="AK813" s="30"/>
      <c r="AM813" s="31"/>
    </row>
    <row r="814" spans="1:39" ht="12.75">
      <c r="A814" s="30"/>
      <c r="C814" s="31"/>
      <c r="D814" s="32"/>
      <c r="F814" s="31"/>
      <c r="G814" s="30"/>
      <c r="I814" s="31"/>
      <c r="AK814" s="30"/>
      <c r="AM814" s="31"/>
    </row>
    <row r="815" spans="1:39" ht="12.75">
      <c r="A815" s="30"/>
      <c r="C815" s="31"/>
      <c r="D815" s="32"/>
      <c r="F815" s="31"/>
      <c r="G815" s="30"/>
      <c r="I815" s="31"/>
      <c r="AK815" s="30"/>
      <c r="AM815" s="31"/>
    </row>
    <row r="816" spans="1:39" ht="12.75">
      <c r="A816" s="30"/>
      <c r="C816" s="31"/>
      <c r="D816" s="32"/>
      <c r="F816" s="31"/>
      <c r="G816" s="30"/>
      <c r="I816" s="31"/>
      <c r="AK816" s="30"/>
      <c r="AM816" s="31"/>
    </row>
    <row r="817" spans="1:39" ht="12.75">
      <c r="A817" s="30"/>
      <c r="C817" s="31"/>
      <c r="D817" s="32"/>
      <c r="F817" s="31"/>
      <c r="G817" s="30"/>
      <c r="I817" s="31"/>
      <c r="AK817" s="30"/>
      <c r="AM817" s="31"/>
    </row>
    <row r="818" spans="1:39" ht="12.75">
      <c r="A818" s="30"/>
      <c r="C818" s="31"/>
      <c r="D818" s="32"/>
      <c r="F818" s="31"/>
      <c r="G818" s="30"/>
      <c r="I818" s="31"/>
      <c r="AK818" s="30"/>
      <c r="AM818" s="31"/>
    </row>
    <row r="819" spans="1:39" ht="12.75">
      <c r="A819" s="30"/>
      <c r="C819" s="31"/>
      <c r="D819" s="32"/>
      <c r="F819" s="31"/>
      <c r="G819" s="30"/>
      <c r="I819" s="31"/>
      <c r="AK819" s="30"/>
      <c r="AM819" s="31"/>
    </row>
    <row r="820" spans="1:39" ht="12.75">
      <c r="A820" s="30"/>
      <c r="C820" s="31"/>
      <c r="D820" s="32"/>
      <c r="F820" s="31"/>
      <c r="G820" s="30"/>
      <c r="I820" s="31"/>
      <c r="AK820" s="30"/>
      <c r="AM820" s="31"/>
    </row>
    <row r="821" spans="1:39" ht="12.75">
      <c r="A821" s="30"/>
      <c r="C821" s="31"/>
      <c r="D821" s="32"/>
      <c r="F821" s="31"/>
      <c r="G821" s="30"/>
      <c r="I821" s="31"/>
      <c r="AK821" s="30"/>
      <c r="AM821" s="31"/>
    </row>
    <row r="822" spans="1:39" ht="12.75">
      <c r="A822" s="30"/>
      <c r="C822" s="31"/>
      <c r="D822" s="32"/>
      <c r="F822" s="31"/>
      <c r="G822" s="30"/>
      <c r="I822" s="31"/>
      <c r="AK822" s="30"/>
      <c r="AM822" s="31"/>
    </row>
    <row r="823" spans="1:39" ht="12.75">
      <c r="A823" s="30"/>
      <c r="C823" s="31"/>
      <c r="D823" s="32"/>
      <c r="F823" s="31"/>
      <c r="G823" s="30"/>
      <c r="I823" s="31"/>
      <c r="AK823" s="30"/>
      <c r="AM823" s="31"/>
    </row>
    <row r="824" spans="1:39" ht="12.75">
      <c r="A824" s="30"/>
      <c r="C824" s="31"/>
      <c r="D824" s="32"/>
      <c r="F824" s="31"/>
      <c r="G824" s="30"/>
      <c r="I824" s="31"/>
      <c r="AK824" s="30"/>
      <c r="AM824" s="31"/>
    </row>
    <row r="825" spans="1:39" ht="12.75">
      <c r="A825" s="30"/>
      <c r="C825" s="31"/>
      <c r="D825" s="32"/>
      <c r="F825" s="31"/>
      <c r="G825" s="30"/>
      <c r="I825" s="31"/>
      <c r="AK825" s="30"/>
      <c r="AM825" s="31"/>
    </row>
    <row r="826" spans="1:39" ht="12.75">
      <c r="A826" s="30"/>
      <c r="C826" s="31"/>
      <c r="D826" s="32"/>
      <c r="F826" s="31"/>
      <c r="G826" s="30"/>
      <c r="I826" s="31"/>
      <c r="AK826" s="30"/>
      <c r="AM826" s="31"/>
    </row>
    <row r="827" spans="1:39" ht="12.75">
      <c r="A827" s="30"/>
      <c r="C827" s="31"/>
      <c r="D827" s="32"/>
      <c r="F827" s="31"/>
      <c r="G827" s="30"/>
      <c r="I827" s="31"/>
      <c r="AK827" s="30"/>
      <c r="AM827" s="31"/>
    </row>
    <row r="828" spans="1:39" ht="12.75">
      <c r="A828" s="30"/>
      <c r="C828" s="31"/>
      <c r="D828" s="32"/>
      <c r="F828" s="31"/>
      <c r="G828" s="30"/>
      <c r="I828" s="31"/>
      <c r="AK828" s="30"/>
      <c r="AM828" s="31"/>
    </row>
    <row r="829" spans="1:39" ht="12.75">
      <c r="A829" s="30"/>
      <c r="C829" s="31"/>
      <c r="D829" s="32"/>
      <c r="F829" s="31"/>
      <c r="G829" s="30"/>
      <c r="I829" s="31"/>
      <c r="AK829" s="30"/>
      <c r="AM829" s="31"/>
    </row>
    <row r="830" spans="1:39" ht="12.75">
      <c r="A830" s="30"/>
      <c r="C830" s="31"/>
      <c r="D830" s="32"/>
      <c r="F830" s="31"/>
      <c r="G830" s="30"/>
      <c r="I830" s="31"/>
      <c r="AK830" s="30"/>
      <c r="AM830" s="31"/>
    </row>
    <row r="831" spans="1:39" ht="12.75">
      <c r="A831" s="30"/>
      <c r="C831" s="31"/>
      <c r="D831" s="32"/>
      <c r="F831" s="31"/>
      <c r="G831" s="30"/>
      <c r="I831" s="31"/>
      <c r="AK831" s="30"/>
      <c r="AM831" s="31"/>
    </row>
    <row r="832" spans="1:39" ht="12.75">
      <c r="A832" s="30"/>
      <c r="C832" s="31"/>
      <c r="D832" s="32"/>
      <c r="F832" s="31"/>
      <c r="G832" s="30"/>
      <c r="I832" s="31"/>
      <c r="AK832" s="30"/>
      <c r="AM832" s="31"/>
    </row>
    <row r="833" spans="1:39" ht="12.75">
      <c r="A833" s="30"/>
      <c r="C833" s="31"/>
      <c r="D833" s="32"/>
      <c r="F833" s="31"/>
      <c r="G833" s="30"/>
      <c r="I833" s="31"/>
      <c r="AK833" s="30"/>
      <c r="AM833" s="31"/>
    </row>
    <row r="834" spans="1:39" ht="12.75">
      <c r="A834" s="30"/>
      <c r="C834" s="31"/>
      <c r="D834" s="32"/>
      <c r="F834" s="31"/>
      <c r="G834" s="30"/>
      <c r="I834" s="31"/>
      <c r="AK834" s="30"/>
      <c r="AM834" s="31"/>
    </row>
    <row r="835" spans="1:39" ht="12.75">
      <c r="A835" s="30"/>
      <c r="C835" s="31"/>
      <c r="D835" s="32"/>
      <c r="F835" s="31"/>
      <c r="G835" s="30"/>
      <c r="I835" s="31"/>
      <c r="AK835" s="30"/>
      <c r="AM835" s="31"/>
    </row>
    <row r="836" spans="1:39" ht="12.75">
      <c r="A836" s="30"/>
      <c r="C836" s="31"/>
      <c r="D836" s="32"/>
      <c r="F836" s="31"/>
      <c r="G836" s="30"/>
      <c r="I836" s="31"/>
      <c r="AK836" s="30"/>
      <c r="AM836" s="31"/>
    </row>
    <row r="837" spans="1:39" ht="12.75">
      <c r="A837" s="30"/>
      <c r="C837" s="31"/>
      <c r="D837" s="32"/>
      <c r="F837" s="31"/>
      <c r="G837" s="30"/>
      <c r="I837" s="31"/>
      <c r="AK837" s="30"/>
      <c r="AM837" s="31"/>
    </row>
    <row r="838" spans="1:39" ht="12.75">
      <c r="A838" s="30"/>
      <c r="C838" s="31"/>
      <c r="D838" s="32"/>
      <c r="F838" s="31"/>
      <c r="G838" s="30"/>
      <c r="I838" s="31"/>
      <c r="AK838" s="30"/>
      <c r="AM838" s="31"/>
    </row>
    <row r="839" spans="1:39" ht="12.75">
      <c r="A839" s="30"/>
      <c r="C839" s="31"/>
      <c r="D839" s="32"/>
      <c r="F839" s="31"/>
      <c r="G839" s="30"/>
      <c r="I839" s="31"/>
      <c r="AK839" s="30"/>
      <c r="AM839" s="31"/>
    </row>
    <row r="840" spans="1:39" ht="12.75">
      <c r="A840" s="30"/>
      <c r="C840" s="31"/>
      <c r="D840" s="32"/>
      <c r="F840" s="31"/>
      <c r="G840" s="30"/>
      <c r="I840" s="31"/>
      <c r="AK840" s="30"/>
      <c r="AM840" s="31"/>
    </row>
    <row r="841" spans="1:39" ht="12.75">
      <c r="A841" s="30"/>
      <c r="C841" s="31"/>
      <c r="D841" s="32"/>
      <c r="F841" s="31"/>
      <c r="G841" s="30"/>
      <c r="I841" s="31"/>
      <c r="AK841" s="30"/>
      <c r="AM841" s="31"/>
    </row>
    <row r="842" spans="1:39" ht="12.75">
      <c r="A842" s="30"/>
      <c r="C842" s="31"/>
      <c r="D842" s="32"/>
      <c r="F842" s="31"/>
      <c r="G842" s="30"/>
      <c r="I842" s="31"/>
      <c r="AK842" s="30"/>
      <c r="AM842" s="31"/>
    </row>
    <row r="843" spans="1:39" ht="12.75">
      <c r="A843" s="30"/>
      <c r="C843" s="31"/>
      <c r="D843" s="32"/>
      <c r="F843" s="31"/>
      <c r="G843" s="30"/>
      <c r="I843" s="31"/>
      <c r="AK843" s="30"/>
      <c r="AM843" s="31"/>
    </row>
    <row r="844" spans="1:39" ht="12.75">
      <c r="A844" s="30"/>
      <c r="C844" s="31"/>
      <c r="D844" s="32"/>
      <c r="F844" s="31"/>
      <c r="G844" s="30"/>
      <c r="I844" s="31"/>
      <c r="AK844" s="30"/>
      <c r="AM844" s="31"/>
    </row>
    <row r="845" spans="1:39" ht="12.75">
      <c r="A845" s="30"/>
      <c r="C845" s="31"/>
      <c r="D845" s="32"/>
      <c r="F845" s="31"/>
      <c r="G845" s="30"/>
      <c r="I845" s="31"/>
      <c r="AK845" s="30"/>
      <c r="AM845" s="31"/>
    </row>
    <row r="846" spans="1:39" ht="12.75">
      <c r="A846" s="30"/>
      <c r="C846" s="31"/>
      <c r="D846" s="32"/>
      <c r="F846" s="31"/>
      <c r="G846" s="30"/>
      <c r="I846" s="31"/>
      <c r="AK846" s="30"/>
      <c r="AM846" s="31"/>
    </row>
    <row r="847" spans="1:39" ht="12.75">
      <c r="A847" s="30"/>
      <c r="C847" s="31"/>
      <c r="D847" s="32"/>
      <c r="F847" s="31"/>
      <c r="G847" s="30"/>
      <c r="I847" s="31"/>
      <c r="AK847" s="30"/>
      <c r="AM847" s="31"/>
    </row>
    <row r="848" spans="1:39" ht="12.75">
      <c r="A848" s="30"/>
      <c r="C848" s="31"/>
      <c r="D848" s="32"/>
      <c r="F848" s="31"/>
      <c r="G848" s="30"/>
      <c r="I848" s="31"/>
      <c r="AK848" s="30"/>
      <c r="AM848" s="31"/>
    </row>
    <row r="849" spans="1:39" ht="12.75">
      <c r="A849" s="30"/>
      <c r="C849" s="31"/>
      <c r="D849" s="32"/>
      <c r="F849" s="31"/>
      <c r="G849" s="30"/>
      <c r="I849" s="31"/>
      <c r="AK849" s="30"/>
      <c r="AM849" s="31"/>
    </row>
    <row r="850" spans="1:39" ht="12.75">
      <c r="A850" s="30"/>
      <c r="C850" s="31"/>
      <c r="D850" s="32"/>
      <c r="F850" s="31"/>
      <c r="G850" s="30"/>
      <c r="I850" s="31"/>
      <c r="AK850" s="30"/>
      <c r="AM850" s="31"/>
    </row>
    <row r="851" spans="1:39" ht="12.75">
      <c r="A851" s="30"/>
      <c r="C851" s="31"/>
      <c r="D851" s="32"/>
      <c r="F851" s="31"/>
      <c r="G851" s="30"/>
      <c r="I851" s="31"/>
      <c r="AK851" s="30"/>
      <c r="AM851" s="31"/>
    </row>
    <row r="852" spans="1:39" ht="12.75">
      <c r="A852" s="30"/>
      <c r="C852" s="31"/>
      <c r="D852" s="32"/>
      <c r="F852" s="31"/>
      <c r="G852" s="30"/>
      <c r="I852" s="31"/>
      <c r="AK852" s="30"/>
      <c r="AM852" s="31"/>
    </row>
    <row r="853" spans="1:39" ht="12.75">
      <c r="A853" s="30"/>
      <c r="C853" s="31"/>
      <c r="D853" s="32"/>
      <c r="F853" s="31"/>
      <c r="G853" s="30"/>
      <c r="I853" s="31"/>
      <c r="AK853" s="30"/>
      <c r="AM853" s="31"/>
    </row>
    <row r="854" spans="1:39" ht="12.75">
      <c r="A854" s="30"/>
      <c r="C854" s="31"/>
      <c r="D854" s="32"/>
      <c r="F854" s="31"/>
      <c r="G854" s="30"/>
      <c r="I854" s="31"/>
      <c r="AK854" s="30"/>
      <c r="AM854" s="31"/>
    </row>
    <row r="855" spans="1:39" ht="12.75">
      <c r="A855" s="30"/>
      <c r="C855" s="31"/>
      <c r="D855" s="32"/>
      <c r="F855" s="31"/>
      <c r="G855" s="30"/>
      <c r="I855" s="31"/>
      <c r="AK855" s="30"/>
      <c r="AM855" s="31"/>
    </row>
    <row r="856" spans="1:39" ht="12.75">
      <c r="A856" s="30"/>
      <c r="C856" s="31"/>
      <c r="D856" s="32"/>
      <c r="F856" s="31"/>
      <c r="G856" s="30"/>
      <c r="I856" s="31"/>
      <c r="AK856" s="30"/>
      <c r="AM856" s="31"/>
    </row>
    <row r="857" spans="1:39" ht="12.75">
      <c r="A857" s="30"/>
      <c r="C857" s="31"/>
      <c r="D857" s="32"/>
      <c r="F857" s="31"/>
      <c r="G857" s="30"/>
      <c r="I857" s="31"/>
      <c r="AK857" s="30"/>
      <c r="AM857" s="31"/>
    </row>
    <row r="858" spans="1:39" ht="12.75">
      <c r="A858" s="30"/>
      <c r="C858" s="31"/>
      <c r="D858" s="32"/>
      <c r="F858" s="31"/>
      <c r="G858" s="30"/>
      <c r="I858" s="31"/>
      <c r="AK858" s="30"/>
      <c r="AM858" s="31"/>
    </row>
    <row r="859" spans="1:39" ht="12.75">
      <c r="A859" s="30"/>
      <c r="C859" s="31"/>
      <c r="D859" s="32"/>
      <c r="F859" s="31"/>
      <c r="G859" s="30"/>
      <c r="I859" s="31"/>
      <c r="AK859" s="30"/>
      <c r="AM859" s="31"/>
    </row>
    <row r="860" spans="1:39" ht="12.75">
      <c r="A860" s="30"/>
      <c r="C860" s="31"/>
      <c r="D860" s="32"/>
      <c r="F860" s="31"/>
      <c r="G860" s="30"/>
      <c r="I860" s="31"/>
      <c r="AK860" s="30"/>
      <c r="AM860" s="31"/>
    </row>
    <row r="861" spans="1:39" ht="12.75">
      <c r="A861" s="30"/>
      <c r="C861" s="31"/>
      <c r="D861" s="32"/>
      <c r="F861" s="31"/>
      <c r="G861" s="30"/>
      <c r="I861" s="31"/>
      <c r="AK861" s="30"/>
      <c r="AM861" s="31"/>
    </row>
    <row r="862" spans="1:39" ht="12.75">
      <c r="A862" s="30"/>
      <c r="C862" s="31"/>
      <c r="D862" s="32"/>
      <c r="F862" s="31"/>
      <c r="G862" s="30"/>
      <c r="I862" s="31"/>
      <c r="AK862" s="30"/>
      <c r="AM862" s="31"/>
    </row>
    <row r="863" spans="1:39" ht="12.75">
      <c r="A863" s="30"/>
      <c r="C863" s="31"/>
      <c r="D863" s="32"/>
      <c r="F863" s="31"/>
      <c r="G863" s="30"/>
      <c r="I863" s="31"/>
      <c r="AK863" s="30"/>
      <c r="AM863" s="31"/>
    </row>
    <row r="864" spans="1:39" ht="12.75">
      <c r="A864" s="30"/>
      <c r="C864" s="31"/>
      <c r="D864" s="32"/>
      <c r="F864" s="31"/>
      <c r="G864" s="30"/>
      <c r="I864" s="31"/>
      <c r="AK864" s="30"/>
      <c r="AM864" s="31"/>
    </row>
    <row r="865" spans="1:39" ht="12.75">
      <c r="A865" s="30"/>
      <c r="C865" s="31"/>
      <c r="D865" s="32"/>
      <c r="F865" s="31"/>
      <c r="G865" s="30"/>
      <c r="I865" s="31"/>
      <c r="AK865" s="30"/>
      <c r="AM865" s="31"/>
    </row>
    <row r="866" spans="1:39" ht="12.75">
      <c r="A866" s="30"/>
      <c r="C866" s="31"/>
      <c r="D866" s="32"/>
      <c r="F866" s="31"/>
      <c r="G866" s="30"/>
      <c r="I866" s="31"/>
      <c r="AK866" s="30"/>
      <c r="AM866" s="31"/>
    </row>
    <row r="867" spans="1:39" ht="12.75">
      <c r="A867" s="30"/>
      <c r="C867" s="31"/>
      <c r="D867" s="32"/>
      <c r="F867" s="31"/>
      <c r="G867" s="30"/>
      <c r="I867" s="31"/>
      <c r="AK867" s="30"/>
      <c r="AM867" s="31"/>
    </row>
    <row r="868" spans="1:39" ht="12.75">
      <c r="A868" s="30"/>
      <c r="C868" s="31"/>
      <c r="D868" s="32"/>
      <c r="F868" s="31"/>
      <c r="G868" s="30"/>
      <c r="I868" s="31"/>
      <c r="AK868" s="30"/>
      <c r="AM868" s="31"/>
    </row>
    <row r="869" spans="1:39" ht="12.75">
      <c r="A869" s="30"/>
      <c r="C869" s="31"/>
      <c r="D869" s="32"/>
      <c r="F869" s="31"/>
      <c r="G869" s="30"/>
      <c r="I869" s="31"/>
      <c r="AK869" s="30"/>
      <c r="AM869" s="31"/>
    </row>
    <row r="870" spans="1:39" ht="12.75">
      <c r="A870" s="30"/>
      <c r="C870" s="31"/>
      <c r="D870" s="32"/>
      <c r="F870" s="31"/>
      <c r="G870" s="30"/>
      <c r="I870" s="31"/>
      <c r="AK870" s="30"/>
      <c r="AM870" s="31"/>
    </row>
    <row r="871" spans="1:39" ht="12.75">
      <c r="A871" s="30"/>
      <c r="C871" s="31"/>
      <c r="D871" s="32"/>
      <c r="F871" s="31"/>
      <c r="G871" s="30"/>
      <c r="I871" s="31"/>
      <c r="AK871" s="30"/>
      <c r="AM871" s="31"/>
    </row>
    <row r="872" spans="1:39" ht="12.75">
      <c r="A872" s="30"/>
      <c r="C872" s="31"/>
      <c r="D872" s="32"/>
      <c r="F872" s="31"/>
      <c r="G872" s="30"/>
      <c r="I872" s="31"/>
      <c r="AK872" s="30"/>
      <c r="AM872" s="31"/>
    </row>
    <row r="873" spans="1:39" ht="12.75">
      <c r="A873" s="30"/>
      <c r="C873" s="31"/>
      <c r="D873" s="32"/>
      <c r="F873" s="31"/>
      <c r="G873" s="30"/>
      <c r="I873" s="31"/>
      <c r="AK873" s="30"/>
      <c r="AM873" s="31"/>
    </row>
    <row r="874" spans="1:39" ht="12.75">
      <c r="A874" s="30"/>
      <c r="C874" s="31"/>
      <c r="D874" s="32"/>
      <c r="F874" s="31"/>
      <c r="G874" s="30"/>
      <c r="I874" s="31"/>
      <c r="AK874" s="30"/>
      <c r="AM874" s="31"/>
    </row>
    <row r="875" spans="1:39" ht="12.75">
      <c r="A875" s="30"/>
      <c r="C875" s="31"/>
      <c r="D875" s="32"/>
      <c r="F875" s="31"/>
      <c r="G875" s="30"/>
      <c r="I875" s="31"/>
      <c r="AK875" s="30"/>
      <c r="AM875" s="31"/>
    </row>
    <row r="876" spans="1:39" ht="12.75">
      <c r="A876" s="30"/>
      <c r="C876" s="31"/>
      <c r="D876" s="32"/>
      <c r="F876" s="31"/>
      <c r="G876" s="30"/>
      <c r="I876" s="31"/>
      <c r="AK876" s="30"/>
      <c r="AM876" s="31"/>
    </row>
    <row r="877" spans="1:39" ht="12.75">
      <c r="A877" s="30"/>
      <c r="C877" s="31"/>
      <c r="D877" s="32"/>
      <c r="F877" s="31"/>
      <c r="G877" s="30"/>
      <c r="I877" s="31"/>
      <c r="AK877" s="30"/>
      <c r="AM877" s="31"/>
    </row>
    <row r="878" spans="1:39" ht="12.75">
      <c r="A878" s="30"/>
      <c r="C878" s="31"/>
      <c r="D878" s="32"/>
      <c r="F878" s="31"/>
      <c r="G878" s="30"/>
      <c r="I878" s="31"/>
      <c r="AK878" s="30"/>
      <c r="AM878" s="31"/>
    </row>
    <row r="879" spans="1:39" ht="12.75">
      <c r="A879" s="30"/>
      <c r="C879" s="31"/>
      <c r="D879" s="32"/>
      <c r="F879" s="31"/>
      <c r="G879" s="30"/>
      <c r="I879" s="31"/>
      <c r="AK879" s="30"/>
      <c r="AM879" s="31"/>
    </row>
    <row r="880" spans="1:39" ht="12.75">
      <c r="A880" s="30"/>
      <c r="C880" s="31"/>
      <c r="D880" s="32"/>
      <c r="F880" s="31"/>
      <c r="G880" s="30"/>
      <c r="I880" s="31"/>
      <c r="AK880" s="30"/>
      <c r="AM880" s="31"/>
    </row>
    <row r="881" spans="1:39" ht="12.75">
      <c r="A881" s="30"/>
      <c r="C881" s="31"/>
      <c r="D881" s="32"/>
      <c r="F881" s="31"/>
      <c r="G881" s="30"/>
      <c r="I881" s="31"/>
      <c r="AK881" s="30"/>
      <c r="AM881" s="31"/>
    </row>
    <row r="882" spans="1:39" ht="12.75">
      <c r="A882" s="30"/>
      <c r="C882" s="31"/>
      <c r="D882" s="32"/>
      <c r="F882" s="31"/>
      <c r="G882" s="30"/>
      <c r="I882" s="31"/>
      <c r="AK882" s="30"/>
      <c r="AM882" s="31"/>
    </row>
    <row r="883" spans="1:39" ht="12.75">
      <c r="A883" s="30"/>
      <c r="C883" s="31"/>
      <c r="D883" s="32"/>
      <c r="F883" s="31"/>
      <c r="G883" s="30"/>
      <c r="I883" s="31"/>
      <c r="AK883" s="30"/>
      <c r="AM883" s="31"/>
    </row>
    <row r="884" spans="1:39" ht="12.75">
      <c r="A884" s="30"/>
      <c r="C884" s="31"/>
      <c r="D884" s="32"/>
      <c r="F884" s="31"/>
      <c r="G884" s="30"/>
      <c r="I884" s="31"/>
      <c r="AK884" s="30"/>
      <c r="AM884" s="31"/>
    </row>
    <row r="885" spans="1:39" ht="12.75">
      <c r="A885" s="30"/>
      <c r="C885" s="31"/>
      <c r="D885" s="32"/>
      <c r="F885" s="31"/>
      <c r="G885" s="30"/>
      <c r="I885" s="31"/>
      <c r="AK885" s="30"/>
      <c r="AM885" s="31"/>
    </row>
    <row r="886" spans="1:39" ht="12.75">
      <c r="A886" s="30"/>
      <c r="C886" s="31"/>
      <c r="D886" s="32"/>
      <c r="F886" s="31"/>
      <c r="G886" s="30"/>
      <c r="I886" s="31"/>
      <c r="AK886" s="30"/>
      <c r="AM886" s="31"/>
    </row>
    <row r="887" spans="1:39" ht="12.75">
      <c r="A887" s="30"/>
      <c r="C887" s="31"/>
      <c r="D887" s="32"/>
      <c r="F887" s="31"/>
      <c r="G887" s="30"/>
      <c r="I887" s="31"/>
      <c r="AK887" s="30"/>
      <c r="AM887" s="31"/>
    </row>
    <row r="888" spans="1:39" ht="12.75">
      <c r="A888" s="30"/>
      <c r="C888" s="31"/>
      <c r="D888" s="32"/>
      <c r="F888" s="31"/>
      <c r="G888" s="30"/>
      <c r="I888" s="31"/>
      <c r="AK888" s="30"/>
      <c r="AM888" s="31"/>
    </row>
    <row r="889" spans="1:39" ht="12.75">
      <c r="A889" s="30"/>
      <c r="C889" s="31"/>
      <c r="D889" s="32"/>
      <c r="F889" s="31"/>
      <c r="G889" s="30"/>
      <c r="I889" s="31"/>
      <c r="AK889" s="30"/>
      <c r="AM889" s="31"/>
    </row>
    <row r="890" spans="1:39" ht="12.75">
      <c r="A890" s="30"/>
      <c r="C890" s="31"/>
      <c r="D890" s="32"/>
      <c r="F890" s="31"/>
      <c r="G890" s="30"/>
      <c r="I890" s="31"/>
      <c r="AK890" s="30"/>
      <c r="AM890" s="31"/>
    </row>
    <row r="891" spans="1:39" ht="12.75">
      <c r="A891" s="30"/>
      <c r="C891" s="31"/>
      <c r="D891" s="32"/>
      <c r="F891" s="31"/>
      <c r="G891" s="30"/>
      <c r="I891" s="31"/>
      <c r="AK891" s="30"/>
      <c r="AM891" s="31"/>
    </row>
    <row r="892" spans="1:39" ht="12.75">
      <c r="A892" s="30"/>
      <c r="C892" s="31"/>
      <c r="D892" s="32"/>
      <c r="F892" s="31"/>
      <c r="G892" s="30"/>
      <c r="I892" s="31"/>
      <c r="AK892" s="30"/>
      <c r="AM892" s="31"/>
    </row>
    <row r="893" spans="1:39" ht="12.75">
      <c r="A893" s="30"/>
      <c r="C893" s="31"/>
      <c r="D893" s="32"/>
      <c r="F893" s="31"/>
      <c r="G893" s="30"/>
      <c r="I893" s="31"/>
      <c r="AK893" s="30"/>
      <c r="AM893" s="31"/>
    </row>
    <row r="894" spans="1:39" ht="12.75">
      <c r="A894" s="30"/>
      <c r="C894" s="31"/>
      <c r="D894" s="32"/>
      <c r="F894" s="31"/>
      <c r="G894" s="30"/>
      <c r="I894" s="31"/>
      <c r="AK894" s="30"/>
      <c r="AM894" s="31"/>
    </row>
    <row r="895" spans="1:39" ht="12.75">
      <c r="A895" s="30"/>
      <c r="C895" s="31"/>
      <c r="D895" s="32"/>
      <c r="F895" s="31"/>
      <c r="G895" s="30"/>
      <c r="I895" s="31"/>
      <c r="AK895" s="30"/>
      <c r="AM895" s="31"/>
    </row>
    <row r="896" spans="1:39" ht="12.75">
      <c r="A896" s="30"/>
      <c r="C896" s="31"/>
      <c r="D896" s="32"/>
      <c r="F896" s="31"/>
      <c r="G896" s="30"/>
      <c r="I896" s="31"/>
      <c r="AK896" s="30"/>
      <c r="AM896" s="31"/>
    </row>
    <row r="897" spans="1:39" ht="12.75">
      <c r="A897" s="30"/>
      <c r="C897" s="31"/>
      <c r="D897" s="32"/>
      <c r="F897" s="31"/>
      <c r="G897" s="30"/>
      <c r="I897" s="31"/>
      <c r="AK897" s="30"/>
      <c r="AM897" s="31"/>
    </row>
    <row r="898" spans="1:39" ht="12.75">
      <c r="A898" s="30"/>
      <c r="C898" s="31"/>
      <c r="D898" s="32"/>
      <c r="F898" s="31"/>
      <c r="G898" s="30"/>
      <c r="I898" s="31"/>
      <c r="AK898" s="30"/>
      <c r="AM898" s="31"/>
    </row>
    <row r="899" spans="1:39" ht="12.75">
      <c r="A899" s="30"/>
      <c r="C899" s="31"/>
      <c r="D899" s="32"/>
      <c r="F899" s="31"/>
      <c r="G899" s="30"/>
      <c r="I899" s="31"/>
      <c r="AK899" s="30"/>
      <c r="AM899" s="31"/>
    </row>
    <row r="900" spans="1:39" ht="12.75">
      <c r="A900" s="30"/>
      <c r="C900" s="31"/>
      <c r="D900" s="32"/>
      <c r="F900" s="31"/>
      <c r="G900" s="30"/>
      <c r="I900" s="31"/>
      <c r="AK900" s="30"/>
      <c r="AM900" s="31"/>
    </row>
    <row r="901" spans="1:39" ht="12.75">
      <c r="A901" s="30"/>
      <c r="C901" s="31"/>
      <c r="D901" s="32"/>
      <c r="F901" s="31"/>
      <c r="G901" s="30"/>
      <c r="I901" s="31"/>
      <c r="AK901" s="30"/>
      <c r="AM901" s="31"/>
    </row>
    <row r="902" spans="1:39" ht="12.75">
      <c r="A902" s="30"/>
      <c r="C902" s="31"/>
      <c r="D902" s="32"/>
      <c r="F902" s="31"/>
      <c r="G902" s="30"/>
      <c r="I902" s="31"/>
      <c r="AK902" s="30"/>
      <c r="AM902" s="31"/>
    </row>
    <row r="903" spans="1:39" ht="12.75">
      <c r="A903" s="30"/>
      <c r="C903" s="31"/>
      <c r="D903" s="32"/>
      <c r="F903" s="31"/>
      <c r="G903" s="30"/>
      <c r="I903" s="31"/>
      <c r="AK903" s="30"/>
      <c r="AM903" s="31"/>
    </row>
    <row r="904" spans="1:39" ht="12.75">
      <c r="A904" s="30"/>
      <c r="C904" s="31"/>
      <c r="D904" s="32"/>
      <c r="F904" s="31"/>
      <c r="G904" s="30"/>
      <c r="I904" s="31"/>
      <c r="AK904" s="30"/>
      <c r="AM904" s="31"/>
    </row>
    <row r="905" spans="1:39" ht="12.75">
      <c r="A905" s="30"/>
      <c r="C905" s="31"/>
      <c r="D905" s="32"/>
      <c r="F905" s="31"/>
      <c r="G905" s="30"/>
      <c r="I905" s="31"/>
      <c r="AK905" s="30"/>
      <c r="AM905" s="31"/>
    </row>
    <row r="906" spans="1:39" ht="12.75">
      <c r="A906" s="30"/>
      <c r="C906" s="31"/>
      <c r="D906" s="32"/>
      <c r="F906" s="31"/>
      <c r="G906" s="30"/>
      <c r="I906" s="31"/>
      <c r="AK906" s="30"/>
      <c r="AM906" s="31"/>
    </row>
    <row r="907" spans="1:39" ht="12.75">
      <c r="A907" s="30"/>
      <c r="C907" s="31"/>
      <c r="D907" s="32"/>
      <c r="F907" s="31"/>
      <c r="G907" s="30"/>
      <c r="I907" s="31"/>
      <c r="AK907" s="30"/>
      <c r="AM907" s="31"/>
    </row>
    <row r="908" spans="1:39" ht="12.75">
      <c r="A908" s="30"/>
      <c r="C908" s="31"/>
      <c r="D908" s="32"/>
      <c r="F908" s="31"/>
      <c r="G908" s="30"/>
      <c r="I908" s="31"/>
      <c r="AK908" s="30"/>
      <c r="AM908" s="31"/>
    </row>
    <row r="909" spans="1:39" ht="12.75">
      <c r="A909" s="30"/>
      <c r="C909" s="31"/>
      <c r="D909" s="32"/>
      <c r="F909" s="31"/>
      <c r="G909" s="30"/>
      <c r="I909" s="31"/>
      <c r="AK909" s="30"/>
      <c r="AM909" s="31"/>
    </row>
    <row r="910" spans="1:39" ht="12.75">
      <c r="A910" s="30"/>
      <c r="C910" s="31"/>
      <c r="D910" s="32"/>
      <c r="F910" s="31"/>
      <c r="G910" s="30"/>
      <c r="I910" s="31"/>
      <c r="AK910" s="30"/>
      <c r="AM910" s="31"/>
    </row>
    <row r="911" spans="1:39" ht="12.75">
      <c r="A911" s="30"/>
      <c r="C911" s="31"/>
      <c r="D911" s="32"/>
      <c r="F911" s="31"/>
      <c r="G911" s="30"/>
      <c r="I911" s="31"/>
      <c r="AK911" s="30"/>
      <c r="AM911" s="31"/>
    </row>
    <row r="912" spans="1:39" ht="12.75">
      <c r="A912" s="30"/>
      <c r="C912" s="31"/>
      <c r="D912" s="32"/>
      <c r="F912" s="31"/>
      <c r="G912" s="30"/>
      <c r="I912" s="31"/>
      <c r="AK912" s="30"/>
      <c r="AM912" s="31"/>
    </row>
    <row r="913" spans="1:39" ht="12.75">
      <c r="A913" s="30"/>
      <c r="C913" s="31"/>
      <c r="D913" s="32"/>
      <c r="F913" s="31"/>
      <c r="G913" s="30"/>
      <c r="I913" s="31"/>
      <c r="AK913" s="30"/>
      <c r="AM913" s="31"/>
    </row>
    <row r="914" spans="1:39" ht="12.75">
      <c r="A914" s="30"/>
      <c r="C914" s="31"/>
      <c r="D914" s="32"/>
      <c r="F914" s="31"/>
      <c r="G914" s="30"/>
      <c r="I914" s="31"/>
      <c r="AK914" s="30"/>
      <c r="AM914" s="31"/>
    </row>
    <row r="915" spans="1:39" ht="12.75">
      <c r="A915" s="30"/>
      <c r="C915" s="31"/>
      <c r="D915" s="32"/>
      <c r="F915" s="31"/>
      <c r="G915" s="30"/>
      <c r="I915" s="31"/>
      <c r="AK915" s="30"/>
      <c r="AM915" s="31"/>
    </row>
    <row r="916" spans="1:39" ht="12.75">
      <c r="A916" s="30"/>
      <c r="C916" s="31"/>
      <c r="D916" s="32"/>
      <c r="F916" s="31"/>
      <c r="G916" s="30"/>
      <c r="I916" s="31"/>
      <c r="AK916" s="30"/>
      <c r="AM916" s="31"/>
    </row>
    <row r="917" spans="1:39" ht="12.75">
      <c r="A917" s="30"/>
      <c r="C917" s="31"/>
      <c r="D917" s="32"/>
      <c r="F917" s="31"/>
      <c r="G917" s="30"/>
      <c r="I917" s="31"/>
      <c r="AK917" s="30"/>
      <c r="AM917" s="31"/>
    </row>
    <row r="918" spans="1:39" ht="12.75">
      <c r="A918" s="30"/>
      <c r="C918" s="31"/>
      <c r="D918" s="32"/>
      <c r="F918" s="31"/>
      <c r="G918" s="30"/>
      <c r="I918" s="31"/>
      <c r="AK918" s="30"/>
      <c r="AM918" s="31"/>
    </row>
    <row r="919" spans="1:39" ht="12.75">
      <c r="A919" s="30"/>
      <c r="C919" s="31"/>
      <c r="D919" s="32"/>
      <c r="F919" s="31"/>
      <c r="G919" s="30"/>
      <c r="I919" s="31"/>
      <c r="AK919" s="30"/>
      <c r="AM919" s="31"/>
    </row>
    <row r="920" spans="1:39" ht="12.75">
      <c r="A920" s="30"/>
      <c r="C920" s="31"/>
      <c r="D920" s="32"/>
      <c r="F920" s="31"/>
      <c r="G920" s="30"/>
      <c r="I920" s="31"/>
      <c r="AK920" s="30"/>
      <c r="AM920" s="31"/>
    </row>
    <row r="921" spans="1:39" ht="12.75">
      <c r="A921" s="30"/>
      <c r="C921" s="31"/>
      <c r="D921" s="32"/>
      <c r="F921" s="31"/>
      <c r="G921" s="30"/>
      <c r="I921" s="31"/>
      <c r="AK921" s="30"/>
      <c r="AM921" s="31"/>
    </row>
    <row r="922" spans="1:39" ht="12.75">
      <c r="A922" s="30"/>
      <c r="C922" s="31"/>
      <c r="D922" s="32"/>
      <c r="F922" s="31"/>
      <c r="G922" s="30"/>
      <c r="I922" s="31"/>
      <c r="AK922" s="30"/>
      <c r="AM922" s="31"/>
    </row>
    <row r="923" spans="1:39" ht="12.75">
      <c r="A923" s="30"/>
      <c r="C923" s="31"/>
      <c r="D923" s="32"/>
      <c r="F923" s="31"/>
      <c r="G923" s="30"/>
      <c r="I923" s="31"/>
      <c r="AK923" s="30"/>
      <c r="AM923" s="31"/>
    </row>
    <row r="924" spans="1:39" ht="12.75">
      <c r="A924" s="30"/>
      <c r="C924" s="31"/>
      <c r="D924" s="32"/>
      <c r="F924" s="31"/>
      <c r="G924" s="30"/>
      <c r="I924" s="31"/>
      <c r="AK924" s="30"/>
      <c r="AM924" s="31"/>
    </row>
    <row r="925" spans="1:39" ht="12.75">
      <c r="A925" s="30"/>
      <c r="C925" s="31"/>
      <c r="D925" s="32"/>
      <c r="F925" s="31"/>
      <c r="G925" s="30"/>
      <c r="I925" s="31"/>
      <c r="AK925" s="30"/>
      <c r="AM925" s="31"/>
    </row>
    <row r="926" spans="1:39" ht="12.75">
      <c r="A926" s="30"/>
      <c r="C926" s="31"/>
      <c r="D926" s="32"/>
      <c r="F926" s="31"/>
      <c r="G926" s="30"/>
      <c r="I926" s="31"/>
      <c r="AK926" s="30"/>
      <c r="AM926" s="31"/>
    </row>
    <row r="927" spans="1:39" ht="12.75">
      <c r="A927" s="30"/>
      <c r="C927" s="31"/>
      <c r="D927" s="32"/>
      <c r="F927" s="31"/>
      <c r="G927" s="30"/>
      <c r="I927" s="31"/>
      <c r="AK927" s="30"/>
      <c r="AM927" s="31"/>
    </row>
    <row r="928" spans="1:39" ht="12.75">
      <c r="A928" s="30"/>
      <c r="C928" s="31"/>
      <c r="D928" s="32"/>
      <c r="F928" s="31"/>
      <c r="G928" s="30"/>
      <c r="I928" s="31"/>
      <c r="AK928" s="30"/>
      <c r="AM928" s="31"/>
    </row>
    <row r="929" spans="1:39" ht="12.75">
      <c r="A929" s="30"/>
      <c r="C929" s="31"/>
      <c r="D929" s="32"/>
      <c r="F929" s="31"/>
      <c r="G929" s="30"/>
      <c r="I929" s="31"/>
      <c r="AK929" s="30"/>
      <c r="AM929" s="31"/>
    </row>
    <row r="930" spans="1:39" ht="12.75">
      <c r="A930" s="30"/>
      <c r="C930" s="31"/>
      <c r="D930" s="32"/>
      <c r="F930" s="31"/>
      <c r="G930" s="30"/>
      <c r="I930" s="31"/>
      <c r="AK930" s="30"/>
      <c r="AM930" s="31"/>
    </row>
    <row r="931" spans="1:39" ht="12.75">
      <c r="A931" s="30"/>
      <c r="C931" s="31"/>
      <c r="D931" s="32"/>
      <c r="F931" s="31"/>
      <c r="G931" s="30"/>
      <c r="I931" s="31"/>
      <c r="AK931" s="30"/>
      <c r="AM931" s="31"/>
    </row>
    <row r="932" spans="1:39" ht="12.75">
      <c r="A932" s="30"/>
      <c r="C932" s="31"/>
      <c r="D932" s="32"/>
      <c r="F932" s="31"/>
      <c r="G932" s="30"/>
      <c r="I932" s="31"/>
      <c r="AK932" s="30"/>
      <c r="AM932" s="31"/>
    </row>
    <row r="933" spans="1:39" ht="12.75">
      <c r="A933" s="30"/>
      <c r="C933" s="31"/>
      <c r="D933" s="32"/>
      <c r="F933" s="31"/>
      <c r="G933" s="30"/>
      <c r="I933" s="31"/>
      <c r="AK933" s="30"/>
      <c r="AM933" s="31"/>
    </row>
    <row r="934" spans="1:39" ht="12.75">
      <c r="A934" s="30"/>
      <c r="C934" s="31"/>
      <c r="D934" s="32"/>
      <c r="F934" s="31"/>
      <c r="G934" s="30"/>
      <c r="I934" s="31"/>
      <c r="AK934" s="30"/>
      <c r="AM934" s="31"/>
    </row>
    <row r="935" spans="1:39" ht="12.75">
      <c r="A935" s="30"/>
      <c r="C935" s="31"/>
      <c r="D935" s="32"/>
      <c r="F935" s="31"/>
      <c r="G935" s="30"/>
      <c r="I935" s="31"/>
      <c r="AK935" s="30"/>
      <c r="AM935" s="31"/>
    </row>
    <row r="936" spans="1:39" ht="12.75">
      <c r="A936" s="30"/>
      <c r="C936" s="31"/>
      <c r="D936" s="32"/>
      <c r="F936" s="31"/>
      <c r="G936" s="30"/>
      <c r="I936" s="31"/>
      <c r="AK936" s="30"/>
      <c r="AM936" s="31"/>
    </row>
    <row r="937" spans="1:39" ht="12.75">
      <c r="A937" s="30"/>
      <c r="C937" s="31"/>
      <c r="D937" s="32"/>
      <c r="F937" s="31"/>
      <c r="G937" s="30"/>
      <c r="I937" s="31"/>
      <c r="AK937" s="30"/>
      <c r="AM937" s="31"/>
    </row>
    <row r="938" spans="1:39" ht="12.75">
      <c r="A938" s="30"/>
      <c r="C938" s="31"/>
      <c r="D938" s="32"/>
      <c r="F938" s="31"/>
      <c r="G938" s="30"/>
      <c r="I938" s="31"/>
      <c r="AK938" s="30"/>
      <c r="AM938" s="31"/>
    </row>
    <row r="939" spans="1:39" ht="12.75">
      <c r="A939" s="30"/>
      <c r="C939" s="31"/>
      <c r="D939" s="32"/>
      <c r="F939" s="31"/>
      <c r="G939" s="30"/>
      <c r="I939" s="31"/>
      <c r="AK939" s="30"/>
      <c r="AM939" s="31"/>
    </row>
    <row r="940" spans="1:39" ht="12.75">
      <c r="A940" s="30"/>
      <c r="C940" s="31"/>
      <c r="D940" s="32"/>
      <c r="F940" s="31"/>
      <c r="G940" s="30"/>
      <c r="I940" s="31"/>
      <c r="AK940" s="30"/>
      <c r="AM940" s="31"/>
    </row>
    <row r="941" spans="1:39" ht="12.75">
      <c r="A941" s="30"/>
      <c r="C941" s="31"/>
      <c r="D941" s="32"/>
      <c r="F941" s="31"/>
      <c r="G941" s="30"/>
      <c r="I941" s="31"/>
      <c r="AK941" s="30"/>
      <c r="AM941" s="31"/>
    </row>
    <row r="942" spans="1:39" ht="12.75">
      <c r="A942" s="30"/>
      <c r="C942" s="31"/>
      <c r="D942" s="32"/>
      <c r="F942" s="31"/>
      <c r="G942" s="30"/>
      <c r="I942" s="31"/>
      <c r="AK942" s="30"/>
      <c r="AM942" s="31"/>
    </row>
    <row r="943" spans="1:39" ht="12.75">
      <c r="A943" s="30"/>
      <c r="C943" s="31"/>
      <c r="D943" s="32"/>
      <c r="F943" s="31"/>
      <c r="G943" s="30"/>
      <c r="I943" s="31"/>
      <c r="AK943" s="30"/>
      <c r="AM943" s="31"/>
    </row>
    <row r="944" spans="1:39" ht="12.75">
      <c r="A944" s="30"/>
      <c r="C944" s="31"/>
      <c r="D944" s="32"/>
      <c r="F944" s="31"/>
      <c r="G944" s="30"/>
      <c r="I944" s="31"/>
      <c r="AK944" s="30"/>
      <c r="AM944" s="31"/>
    </row>
    <row r="945" spans="1:39" ht="12.75">
      <c r="A945" s="30"/>
      <c r="C945" s="31"/>
      <c r="D945" s="32"/>
      <c r="F945" s="31"/>
      <c r="G945" s="30"/>
      <c r="I945" s="31"/>
      <c r="AK945" s="30"/>
      <c r="AM945" s="31"/>
    </row>
    <row r="946" spans="1:39" ht="12.75">
      <c r="A946" s="30"/>
      <c r="C946" s="31"/>
      <c r="D946" s="32"/>
      <c r="F946" s="31"/>
      <c r="G946" s="30"/>
      <c r="I946" s="31"/>
      <c r="AK946" s="30"/>
      <c r="AM946" s="31"/>
    </row>
    <row r="947" spans="1:39" ht="12.75">
      <c r="A947" s="30"/>
      <c r="C947" s="31"/>
      <c r="D947" s="32"/>
      <c r="F947" s="31"/>
      <c r="G947" s="30"/>
      <c r="I947" s="31"/>
      <c r="AK947" s="30"/>
      <c r="AM947" s="31"/>
    </row>
    <row r="948" spans="1:39" ht="12.75">
      <c r="A948" s="30"/>
      <c r="C948" s="31"/>
      <c r="D948" s="32"/>
      <c r="F948" s="31"/>
      <c r="G948" s="30"/>
      <c r="I948" s="31"/>
      <c r="AK948" s="30"/>
      <c r="AM948" s="31"/>
    </row>
    <row r="949" spans="1:39" ht="12.75">
      <c r="A949" s="30"/>
      <c r="C949" s="31"/>
      <c r="D949" s="32"/>
      <c r="F949" s="31"/>
      <c r="G949" s="30"/>
      <c r="I949" s="31"/>
      <c r="AK949" s="30"/>
      <c r="AM949" s="31"/>
    </row>
    <row r="950" spans="1:39" ht="12.75">
      <c r="A950" s="30"/>
      <c r="C950" s="31"/>
      <c r="D950" s="32"/>
      <c r="F950" s="31"/>
      <c r="G950" s="30"/>
      <c r="I950" s="31"/>
      <c r="AK950" s="30"/>
      <c r="AM950" s="31"/>
    </row>
    <row r="951" spans="1:39" ht="12.75">
      <c r="A951" s="30"/>
      <c r="C951" s="31"/>
      <c r="D951" s="32"/>
      <c r="F951" s="31"/>
      <c r="G951" s="30"/>
      <c r="I951" s="31"/>
      <c r="AK951" s="30"/>
      <c r="AM951" s="31"/>
    </row>
    <row r="952" spans="1:39" ht="12.75">
      <c r="A952" s="30"/>
      <c r="C952" s="31"/>
      <c r="D952" s="32"/>
      <c r="F952" s="31"/>
      <c r="G952" s="30"/>
      <c r="I952" s="31"/>
      <c r="AK952" s="30"/>
      <c r="AM952" s="31"/>
    </row>
    <row r="953" spans="1:39" ht="12.75">
      <c r="A953" s="30"/>
      <c r="C953" s="31"/>
      <c r="D953" s="32"/>
      <c r="F953" s="31"/>
      <c r="G953" s="30"/>
      <c r="I953" s="31"/>
      <c r="AK953" s="30"/>
      <c r="AM953" s="31"/>
    </row>
    <row r="954" spans="1:39" ht="12.75">
      <c r="A954" s="30"/>
      <c r="C954" s="31"/>
      <c r="D954" s="32"/>
      <c r="F954" s="31"/>
      <c r="G954" s="30"/>
      <c r="I954" s="31"/>
      <c r="AK954" s="30"/>
      <c r="AM954" s="31"/>
    </row>
    <row r="955" spans="1:39" ht="12.75">
      <c r="A955" s="30"/>
      <c r="C955" s="31"/>
      <c r="D955" s="32"/>
      <c r="F955" s="31"/>
      <c r="G955" s="30"/>
      <c r="I955" s="31"/>
      <c r="AK955" s="30"/>
      <c r="AM955" s="31"/>
    </row>
    <row r="956" spans="1:39" ht="12.75">
      <c r="A956" s="30"/>
      <c r="C956" s="31"/>
      <c r="D956" s="32"/>
      <c r="F956" s="31"/>
      <c r="G956" s="30"/>
      <c r="I956" s="31"/>
      <c r="AK956" s="30"/>
      <c r="AM956" s="31"/>
    </row>
    <row r="957" spans="1:39" ht="12.75">
      <c r="A957" s="30"/>
      <c r="C957" s="31"/>
      <c r="D957" s="32"/>
      <c r="F957" s="31"/>
      <c r="G957" s="30"/>
      <c r="I957" s="31"/>
      <c r="AK957" s="30"/>
      <c r="AM957" s="31"/>
    </row>
    <row r="958" spans="1:39" ht="12.75">
      <c r="A958" s="30"/>
      <c r="C958" s="31"/>
      <c r="D958" s="32"/>
      <c r="F958" s="31"/>
      <c r="G958" s="30"/>
      <c r="I958" s="31"/>
      <c r="AK958" s="30"/>
      <c r="AM958" s="31"/>
    </row>
    <row r="959" spans="1:39" ht="12.75">
      <c r="A959" s="30"/>
      <c r="C959" s="31"/>
      <c r="D959" s="32"/>
      <c r="F959" s="31"/>
      <c r="G959" s="30"/>
      <c r="I959" s="31"/>
      <c r="AK959" s="30"/>
      <c r="AM959" s="31"/>
    </row>
    <row r="960" spans="1:39" ht="12.75">
      <c r="A960" s="30"/>
      <c r="C960" s="31"/>
      <c r="D960" s="32"/>
      <c r="F960" s="31"/>
      <c r="G960" s="30"/>
      <c r="I960" s="31"/>
      <c r="AK960" s="30"/>
      <c r="AM960" s="31"/>
    </row>
    <row r="961" spans="1:39" ht="12.75">
      <c r="A961" s="30"/>
      <c r="C961" s="31"/>
      <c r="D961" s="32"/>
      <c r="F961" s="31"/>
      <c r="G961" s="30"/>
      <c r="I961" s="31"/>
      <c r="AK961" s="30"/>
      <c r="AM961" s="31"/>
    </row>
    <row r="962" spans="1:39" ht="12.75">
      <c r="A962" s="30"/>
      <c r="C962" s="31"/>
      <c r="D962" s="32"/>
      <c r="F962" s="31"/>
      <c r="G962" s="30"/>
      <c r="I962" s="31"/>
      <c r="AK962" s="30"/>
      <c r="AM962" s="31"/>
    </row>
    <row r="963" spans="1:39" ht="12.75">
      <c r="A963" s="30"/>
      <c r="C963" s="31"/>
      <c r="D963" s="32"/>
      <c r="F963" s="31"/>
      <c r="G963" s="30"/>
      <c r="I963" s="31"/>
      <c r="AK963" s="30"/>
      <c r="AM963" s="31"/>
    </row>
    <row r="964" spans="1:39" ht="12.75">
      <c r="A964" s="30"/>
      <c r="C964" s="31"/>
      <c r="D964" s="32"/>
      <c r="F964" s="31"/>
      <c r="G964" s="30"/>
      <c r="I964" s="31"/>
      <c r="AK964" s="30"/>
      <c r="AM964" s="31"/>
    </row>
    <row r="965" spans="1:39" ht="12.75">
      <c r="A965" s="30"/>
      <c r="C965" s="31"/>
      <c r="D965" s="32"/>
      <c r="F965" s="31"/>
      <c r="G965" s="30"/>
      <c r="I965" s="31"/>
      <c r="AK965" s="30"/>
      <c r="AM965" s="31"/>
    </row>
    <row r="966" spans="1:39" ht="12.75">
      <c r="A966" s="30"/>
      <c r="C966" s="31"/>
      <c r="D966" s="32"/>
      <c r="F966" s="31"/>
      <c r="G966" s="30"/>
      <c r="I966" s="31"/>
      <c r="AK966" s="30"/>
      <c r="AM966" s="31"/>
    </row>
    <row r="967" spans="1:39" ht="12.75">
      <c r="A967" s="30"/>
      <c r="C967" s="31"/>
      <c r="D967" s="32"/>
      <c r="F967" s="31"/>
      <c r="G967" s="30"/>
      <c r="I967" s="31"/>
      <c r="AK967" s="30"/>
      <c r="AM967" s="31"/>
    </row>
    <row r="968" spans="1:39" ht="12.75">
      <c r="A968" s="30"/>
      <c r="C968" s="31"/>
      <c r="D968" s="32"/>
      <c r="F968" s="31"/>
      <c r="G968" s="30"/>
      <c r="I968" s="31"/>
      <c r="AK968" s="30"/>
      <c r="AM968" s="31"/>
    </row>
    <row r="969" spans="1:39" ht="12.75">
      <c r="A969" s="30"/>
      <c r="C969" s="31"/>
      <c r="D969" s="32"/>
      <c r="F969" s="31"/>
      <c r="G969" s="30"/>
      <c r="I969" s="31"/>
      <c r="AK969" s="30"/>
      <c r="AM969" s="31"/>
    </row>
    <row r="970" spans="1:39" ht="12.75">
      <c r="A970" s="30"/>
      <c r="C970" s="31"/>
      <c r="D970" s="32"/>
      <c r="F970" s="31"/>
      <c r="G970" s="30"/>
      <c r="I970" s="31"/>
      <c r="AK970" s="30"/>
      <c r="AM970" s="31"/>
    </row>
    <row r="971" spans="1:39" ht="12.75">
      <c r="A971" s="30"/>
      <c r="C971" s="31"/>
      <c r="D971" s="32"/>
      <c r="F971" s="31"/>
      <c r="G971" s="30"/>
      <c r="I971" s="31"/>
      <c r="AK971" s="30"/>
      <c r="AM971" s="31"/>
    </row>
    <row r="972" spans="1:39" ht="12.75">
      <c r="A972" s="30"/>
      <c r="C972" s="31"/>
      <c r="D972" s="32"/>
      <c r="F972" s="31"/>
      <c r="G972" s="30"/>
      <c r="I972" s="31"/>
      <c r="AK972" s="30"/>
      <c r="AM972" s="31"/>
    </row>
    <row r="973" spans="1:39" ht="12.75">
      <c r="A973" s="30"/>
      <c r="C973" s="31"/>
      <c r="D973" s="32"/>
      <c r="F973" s="31"/>
      <c r="G973" s="30"/>
      <c r="I973" s="31"/>
      <c r="AK973" s="30"/>
      <c r="AM973" s="31"/>
    </row>
    <row r="974" spans="1:39" ht="12.75">
      <c r="A974" s="30"/>
      <c r="C974" s="31"/>
      <c r="D974" s="32"/>
      <c r="F974" s="31"/>
      <c r="G974" s="30"/>
      <c r="I974" s="31"/>
      <c r="AK974" s="30"/>
      <c r="AM974" s="31"/>
    </row>
    <row r="975" spans="1:39" ht="12.75">
      <c r="A975" s="30"/>
      <c r="C975" s="31"/>
      <c r="D975" s="32"/>
      <c r="F975" s="31"/>
      <c r="G975" s="30"/>
      <c r="I975" s="31"/>
      <c r="AK975" s="30"/>
      <c r="AM975" s="31"/>
    </row>
    <row r="976" spans="1:39" ht="12.75">
      <c r="A976" s="30"/>
      <c r="C976" s="31"/>
      <c r="D976" s="32"/>
      <c r="F976" s="31"/>
      <c r="G976" s="30"/>
      <c r="I976" s="31"/>
      <c r="AK976" s="30"/>
      <c r="AM976" s="31"/>
    </row>
    <row r="977" spans="1:39" ht="12.75">
      <c r="A977" s="30"/>
      <c r="C977" s="31"/>
      <c r="D977" s="32"/>
      <c r="F977" s="31"/>
      <c r="G977" s="30"/>
      <c r="I977" s="31"/>
      <c r="AK977" s="30"/>
      <c r="AM977" s="31"/>
    </row>
    <row r="978" spans="1:39" ht="12.75">
      <c r="A978" s="30"/>
      <c r="C978" s="31"/>
      <c r="D978" s="32"/>
      <c r="F978" s="31"/>
      <c r="G978" s="30"/>
      <c r="I978" s="31"/>
      <c r="AK978" s="30"/>
      <c r="AM978" s="31"/>
    </row>
    <row r="979" spans="1:39" ht="12.75">
      <c r="A979" s="30"/>
      <c r="C979" s="31"/>
      <c r="D979" s="32"/>
      <c r="F979" s="31"/>
      <c r="G979" s="30"/>
      <c r="I979" s="31"/>
      <c r="AK979" s="30"/>
      <c r="AM979" s="31"/>
    </row>
    <row r="980" spans="1:39" ht="12.75">
      <c r="A980" s="30"/>
      <c r="C980" s="31"/>
      <c r="D980" s="32"/>
      <c r="F980" s="31"/>
      <c r="G980" s="30"/>
      <c r="I980" s="31"/>
      <c r="AK980" s="30"/>
      <c r="AM980" s="31"/>
    </row>
    <row r="981" spans="1:39" ht="12.75">
      <c r="A981" s="30"/>
      <c r="C981" s="31"/>
      <c r="D981" s="32"/>
      <c r="F981" s="31"/>
      <c r="G981" s="30"/>
      <c r="I981" s="31"/>
      <c r="AK981" s="30"/>
      <c r="AM981" s="31"/>
    </row>
    <row r="982" spans="1:39" ht="12.75">
      <c r="A982" s="30"/>
      <c r="C982" s="31"/>
      <c r="D982" s="32"/>
      <c r="F982" s="31"/>
      <c r="G982" s="30"/>
      <c r="I982" s="31"/>
      <c r="AK982" s="30"/>
      <c r="AM982" s="31"/>
    </row>
    <row r="983" spans="1:39" ht="12.75">
      <c r="A983" s="30"/>
      <c r="C983" s="31"/>
      <c r="D983" s="32"/>
      <c r="F983" s="31"/>
      <c r="G983" s="30"/>
      <c r="I983" s="31"/>
      <c r="AK983" s="30"/>
      <c r="AM983" s="31"/>
    </row>
    <row r="984" spans="1:39" ht="12.75">
      <c r="A984" s="30"/>
      <c r="C984" s="31"/>
      <c r="D984" s="32"/>
      <c r="F984" s="31"/>
      <c r="G984" s="30"/>
      <c r="I984" s="31"/>
      <c r="AK984" s="30"/>
      <c r="AM984" s="31"/>
    </row>
    <row r="985" spans="1:39" ht="12.75">
      <c r="A985" s="30"/>
      <c r="C985" s="31"/>
      <c r="D985" s="32"/>
      <c r="F985" s="31"/>
      <c r="G985" s="30"/>
      <c r="I985" s="31"/>
      <c r="AK985" s="30"/>
      <c r="AM985" s="31"/>
    </row>
    <row r="986" spans="1:39" ht="12.75">
      <c r="A986" s="30"/>
      <c r="C986" s="31"/>
      <c r="D986" s="32"/>
      <c r="F986" s="31"/>
      <c r="G986" s="30"/>
      <c r="I986" s="31"/>
      <c r="AK986" s="30"/>
      <c r="AM986" s="31"/>
    </row>
    <row r="987" spans="1:39" ht="12.75">
      <c r="A987" s="30"/>
      <c r="C987" s="31"/>
      <c r="D987" s="32"/>
      <c r="F987" s="31"/>
      <c r="G987" s="30"/>
      <c r="I987" s="31"/>
      <c r="AK987" s="30"/>
      <c r="AM987" s="31"/>
    </row>
    <row r="988" spans="1:39" ht="12.75">
      <c r="A988" s="30"/>
      <c r="C988" s="31"/>
      <c r="D988" s="32"/>
      <c r="F988" s="31"/>
      <c r="G988" s="30"/>
      <c r="I988" s="31"/>
      <c r="AK988" s="30"/>
      <c r="AM988" s="31"/>
    </row>
    <row r="989" spans="1:39" ht="12.75">
      <c r="A989" s="30"/>
      <c r="C989" s="31"/>
      <c r="D989" s="32"/>
      <c r="F989" s="31"/>
      <c r="G989" s="30"/>
      <c r="I989" s="31"/>
      <c r="AK989" s="30"/>
      <c r="AM989" s="31"/>
    </row>
    <row r="990" spans="1:39" ht="12.75">
      <c r="A990" s="30"/>
      <c r="C990" s="31"/>
      <c r="D990" s="32"/>
      <c r="F990" s="31"/>
      <c r="G990" s="30"/>
      <c r="I990" s="31"/>
      <c r="AK990" s="30"/>
      <c r="AM990" s="31"/>
    </row>
    <row r="991" spans="1:39" ht="12.75">
      <c r="A991" s="30"/>
      <c r="C991" s="31"/>
      <c r="D991" s="32"/>
      <c r="F991" s="31"/>
      <c r="G991" s="30"/>
      <c r="I991" s="31"/>
      <c r="AK991" s="30"/>
      <c r="AM991" s="31"/>
    </row>
    <row r="992" spans="1:39" ht="12.75">
      <c r="A992" s="30"/>
      <c r="C992" s="31"/>
      <c r="D992" s="32"/>
      <c r="F992" s="31"/>
      <c r="G992" s="30"/>
      <c r="I992" s="31"/>
      <c r="AK992" s="30"/>
      <c r="AM992" s="31"/>
    </row>
    <row r="993" spans="1:39" ht="12.75">
      <c r="A993" s="30"/>
      <c r="C993" s="31"/>
      <c r="D993" s="32"/>
      <c r="F993" s="31"/>
      <c r="G993" s="30"/>
      <c r="I993" s="31"/>
      <c r="AK993" s="30"/>
      <c r="AM993" s="31"/>
    </row>
    <row r="994" spans="1:39" ht="12.75">
      <c r="A994" s="30"/>
      <c r="C994" s="31"/>
      <c r="D994" s="32"/>
      <c r="E994" s="33"/>
      <c r="F994" s="31"/>
      <c r="G994" s="30"/>
      <c r="I994" s="31"/>
      <c r="AK994" s="30"/>
      <c r="AM994" s="31"/>
    </row>
    <row r="995" spans="1:39" ht="12.75">
      <c r="A995" s="34"/>
      <c r="C995" s="35"/>
      <c r="D995" s="36"/>
      <c r="F995" s="35"/>
      <c r="G995" s="34"/>
      <c r="I995" s="31"/>
      <c r="AK995" s="30"/>
      <c r="AM995" s="31"/>
    </row>
    <row r="996" spans="1:39" ht="12.75">
      <c r="A996" s="37"/>
      <c r="G996" s="37"/>
      <c r="I996" s="35"/>
      <c r="AK996" s="34"/>
      <c r="AM996" s="31"/>
    </row>
    <row r="997" spans="1:39" ht="12.75">
      <c r="A997" s="37"/>
      <c r="G997" s="37"/>
      <c r="AK997" s="37"/>
      <c r="AM997" s="31"/>
    </row>
    <row r="998" spans="1:39" ht="15.75" customHeight="1">
      <c r="B998" s="33"/>
      <c r="H998" s="33"/>
      <c r="AK998" s="37"/>
      <c r="AL998" s="33"/>
      <c r="AM998" s="35"/>
    </row>
  </sheetData>
  <mergeCells count="30">
    <mergeCell ref="BI1:BK1"/>
    <mergeCell ref="BL1:BN1"/>
    <mergeCell ref="BO1:BQ1"/>
    <mergeCell ref="AQ1:AS1"/>
    <mergeCell ref="BR1:BT1"/>
    <mergeCell ref="BC1:BE1"/>
    <mergeCell ref="BF1:BH1"/>
    <mergeCell ref="AW1:AY1"/>
    <mergeCell ref="CA1:CC1"/>
    <mergeCell ref="CD1:CF1"/>
    <mergeCell ref="CG1:CI1"/>
    <mergeCell ref="CJ1:CL1"/>
    <mergeCell ref="BU1:BW1"/>
    <mergeCell ref="BX1:BZ1"/>
    <mergeCell ref="AZ1:BB1"/>
    <mergeCell ref="A1:C1"/>
    <mergeCell ref="AK1:AM1"/>
    <mergeCell ref="D1:F1"/>
    <mergeCell ref="G1:I1"/>
    <mergeCell ref="J1:L1"/>
    <mergeCell ref="AE1:AG1"/>
    <mergeCell ref="V1:X1"/>
    <mergeCell ref="Y1:AA1"/>
    <mergeCell ref="AB1:AD1"/>
    <mergeCell ref="M1:O1"/>
    <mergeCell ref="P1:R1"/>
    <mergeCell ref="S1:U1"/>
    <mergeCell ref="AH1:AJ1"/>
    <mergeCell ref="AN1:AP1"/>
    <mergeCell ref="AT1:AV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1000000}">
          <x14:formula1>
            <xm:f>Data!$E$1:$E$9</xm:f>
          </x14:formula1>
          <xm:sqref>BZ2:BZ79 BT2:BT79 BH2:BH79 BE2:BE80 X2:X81 C2:C80 BN2:BN79 BB2:BB79 AS2:AS78 AV2:AV79 AP2:AP83 AJ2:AJ80 O2:O86 F2:F80 AD2:AD80 AY2:AY80 AA2:AA82 BK2:BK76 BW2:BW78 BQ2:BQ80 CF2:CF79 CI2:CI79 I2:I81 L2:L78 U2:U83 AM2:AM83 CC2:CC79 AG2:AG78 R2:R83 CL2:CL80</xm:sqref>
        </x14:dataValidation>
        <x14:dataValidation type="list" allowBlank="1" showErrorMessage="1" xr:uid="{00000000-0002-0000-0300-000000000000}">
          <x14:formula1>
            <xm:f>'Traniees Name &amp; Package'!$B$3:$B$316</xm:f>
          </x14:formula1>
          <xm:sqref>BD2:BD85 BP2:BP86 Z2:Z84 CH2:CH85 CE2:CE85 CB2:CB85 BV2:BV84 BJ2:BJ82 AL2:AL84 AX2:AX87 BG2:BG85 BY2:BY85 BS2:BS85 BA2:BA85 AU2:AU85 AR2:AR82 W2:W81 AI2:AI80 AC2:AC81 N2:N85 AO2:AO83 B2:B83 BM2:BM85 E2:E79 H2:H83 K2:K80 T2:T85 AF2:AF78 Q2:Q84 CK2:CK86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909"/>
  <sheetViews>
    <sheetView topLeftCell="H38" zoomScale="85" zoomScaleNormal="85" workbookViewId="0">
      <selection activeCell="R61" sqref="R61"/>
    </sheetView>
  </sheetViews>
  <sheetFormatPr defaultColWidth="12.5703125" defaultRowHeight="15.75" customHeight="1"/>
  <cols>
    <col min="6" max="6" width="12.5703125" style="89"/>
    <col min="7" max="7" width="13.140625" customWidth="1"/>
    <col min="10" max="10" width="31.42578125" customWidth="1"/>
  </cols>
  <sheetData>
    <row r="1" spans="1:12" ht="15.75" customHeight="1" thickBot="1">
      <c r="A1" s="129" t="s">
        <v>380</v>
      </c>
      <c r="B1" s="130" t="s">
        <v>378</v>
      </c>
      <c r="C1" s="130" t="s">
        <v>383</v>
      </c>
      <c r="D1" s="130" t="s">
        <v>384</v>
      </c>
      <c r="E1" s="130" t="s">
        <v>385</v>
      </c>
      <c r="F1" s="131" t="s">
        <v>386</v>
      </c>
      <c r="G1" s="132" t="s">
        <v>387</v>
      </c>
      <c r="H1" s="130" t="s">
        <v>388</v>
      </c>
      <c r="I1" s="130" t="s">
        <v>385</v>
      </c>
      <c r="J1" s="133" t="s">
        <v>389</v>
      </c>
    </row>
    <row r="2" spans="1:12" ht="15.75" customHeight="1" thickBot="1">
      <c r="A2" s="38"/>
      <c r="B2" s="39"/>
      <c r="C2" s="39"/>
      <c r="D2" s="39"/>
      <c r="E2" s="39"/>
      <c r="F2" s="82"/>
      <c r="G2" s="39"/>
      <c r="H2" s="39"/>
      <c r="I2" s="39"/>
      <c r="J2" s="39"/>
    </row>
    <row r="3" spans="1:12" ht="15.75" customHeight="1">
      <c r="A3" s="40"/>
      <c r="B3" s="41" t="s">
        <v>696</v>
      </c>
      <c r="C3" s="42"/>
      <c r="D3" s="41">
        <v>8</v>
      </c>
      <c r="E3" s="43">
        <f>D3+C3</f>
        <v>8</v>
      </c>
      <c r="F3" s="85">
        <v>1</v>
      </c>
      <c r="G3" s="42">
        <f>COUNTIF('Off-Ice Attendence'!$A$1:$J$34,J3)</f>
        <v>0</v>
      </c>
      <c r="H3" s="43">
        <f>COUNTIF('June 2026 Attendence'!A:CL,J3)</f>
        <v>5</v>
      </c>
      <c r="I3" s="42">
        <f>E3-H3-F3</f>
        <v>2</v>
      </c>
      <c r="J3" s="134" t="s">
        <v>230</v>
      </c>
    </row>
    <row r="4" spans="1:12" ht="15.75" customHeight="1">
      <c r="A4" s="40"/>
      <c r="B4" s="41">
        <v>3400</v>
      </c>
      <c r="C4" s="42"/>
      <c r="D4" s="41">
        <v>8</v>
      </c>
      <c r="E4" s="43">
        <f>D4+C4</f>
        <v>8</v>
      </c>
      <c r="F4" s="85"/>
      <c r="G4" s="42">
        <f>COUNTIF('Off-Ice Attendence'!$A$1:$J$34,J4)</f>
        <v>0</v>
      </c>
      <c r="H4" s="43">
        <f>COUNTIF('June 2026 Attendence'!A:CL,J4)</f>
        <v>7</v>
      </c>
      <c r="I4" s="42">
        <f>E4-H4-F4</f>
        <v>1</v>
      </c>
      <c r="J4" s="135" t="s">
        <v>515</v>
      </c>
      <c r="L4" s="146" t="s">
        <v>764</v>
      </c>
    </row>
    <row r="5" spans="1:12" ht="15.75" customHeight="1">
      <c r="A5" s="40"/>
      <c r="B5" s="41">
        <v>3400</v>
      </c>
      <c r="C5" s="42">
        <v>2</v>
      </c>
      <c r="D5" s="41">
        <v>8</v>
      </c>
      <c r="E5" s="43">
        <f t="shared" ref="E5:E11" si="0">D5+C5</f>
        <v>10</v>
      </c>
      <c r="F5" s="83"/>
      <c r="G5" s="42">
        <f>COUNTIF('Off-Ice Attendence'!$A$1:$J$34,J5)</f>
        <v>0</v>
      </c>
      <c r="H5" s="43">
        <f>COUNTIF('June 2026 Attendence'!A:CL,J5)</f>
        <v>8</v>
      </c>
      <c r="I5" s="42">
        <f t="shared" ref="I5:I11" si="1">E5-H5-F5</f>
        <v>2</v>
      </c>
      <c r="J5" s="135" t="s">
        <v>567</v>
      </c>
      <c r="L5" s="146" t="s">
        <v>765</v>
      </c>
    </row>
    <row r="6" spans="1:12" ht="15.75" customHeight="1">
      <c r="A6" s="40"/>
      <c r="B6" s="41">
        <v>3400</v>
      </c>
      <c r="C6" s="42"/>
      <c r="D6" s="41">
        <v>8</v>
      </c>
      <c r="E6" s="43">
        <f t="shared" ref="E6:E10" si="2">D6+C6</f>
        <v>8</v>
      </c>
      <c r="F6" s="83"/>
      <c r="G6" s="42">
        <f>COUNTIF('Off-Ice Attendence'!$A$1:$J$34,J6)</f>
        <v>0</v>
      </c>
      <c r="H6" s="43">
        <f>COUNTIF('June 2026 Attendence'!A:CL,J6)</f>
        <v>8</v>
      </c>
      <c r="I6" s="42">
        <f t="shared" ref="I6:I10" si="3">E6-H6-F6</f>
        <v>0</v>
      </c>
      <c r="J6" s="135" t="s">
        <v>672</v>
      </c>
      <c r="L6" t="s">
        <v>734</v>
      </c>
    </row>
    <row r="7" spans="1:12" ht="15.75" customHeight="1">
      <c r="A7" s="40"/>
      <c r="B7" s="41">
        <v>3400</v>
      </c>
      <c r="C7" s="42"/>
      <c r="D7" s="41">
        <v>8</v>
      </c>
      <c r="E7" s="43">
        <f t="shared" ref="E7" si="4">D7+C7</f>
        <v>8</v>
      </c>
      <c r="F7" s="83"/>
      <c r="G7" s="42">
        <f>COUNTIF('Off-Ice Attendence'!$A$1:$J$34,J7)</f>
        <v>0</v>
      </c>
      <c r="H7" s="43">
        <f>COUNTIF('June 2026 Attendence'!A:CL,J7)</f>
        <v>8</v>
      </c>
      <c r="I7" s="42">
        <f t="shared" ref="I7" si="5">E7-H7-F7</f>
        <v>0</v>
      </c>
      <c r="J7" s="135" t="s">
        <v>674</v>
      </c>
      <c r="L7" t="s">
        <v>743</v>
      </c>
    </row>
    <row r="8" spans="1:12" ht="15.75" customHeight="1">
      <c r="A8" s="40"/>
      <c r="B8" s="41">
        <v>1800</v>
      </c>
      <c r="C8" s="42"/>
      <c r="D8" s="41">
        <v>4</v>
      </c>
      <c r="E8" s="43">
        <f t="shared" ref="E8" si="6">D8+C8</f>
        <v>4</v>
      </c>
      <c r="F8" s="83"/>
      <c r="G8" s="42">
        <f>COUNTIF('Off-Ice Attendence'!$A$1:$J$34,J8)</f>
        <v>0</v>
      </c>
      <c r="H8" s="43">
        <f>COUNTIF('June 2026 Attendence'!A:CL,J8)</f>
        <v>3</v>
      </c>
      <c r="I8" s="42">
        <f t="shared" ref="I8" si="7">E8-H8-F8</f>
        <v>1</v>
      </c>
      <c r="J8" s="135" t="s">
        <v>610</v>
      </c>
      <c r="L8" s="146" t="s">
        <v>763</v>
      </c>
    </row>
    <row r="9" spans="1:12" ht="15.75" customHeight="1">
      <c r="A9" s="40"/>
      <c r="B9" s="41">
        <v>1800</v>
      </c>
      <c r="C9" s="42">
        <v>-3</v>
      </c>
      <c r="D9" s="41">
        <v>8</v>
      </c>
      <c r="E9" s="43">
        <f t="shared" si="2"/>
        <v>5</v>
      </c>
      <c r="F9" s="83"/>
      <c r="G9" s="42">
        <f>COUNTIF('Off-Ice Attendence'!$A$1:$J$34,J9)</f>
        <v>0</v>
      </c>
      <c r="H9" s="43">
        <f>COUNTIF('June 2026 Attendence'!A:CL,J9)</f>
        <v>7</v>
      </c>
      <c r="I9" s="42">
        <f t="shared" si="3"/>
        <v>-2</v>
      </c>
      <c r="J9" s="135" t="s">
        <v>704</v>
      </c>
      <c r="L9" t="s">
        <v>733</v>
      </c>
    </row>
    <row r="10" spans="1:12" ht="15.75" customHeight="1">
      <c r="A10" s="40"/>
      <c r="B10" s="41">
        <v>1800</v>
      </c>
      <c r="C10" s="42"/>
      <c r="D10" s="41">
        <v>4</v>
      </c>
      <c r="E10" s="43">
        <f t="shared" si="2"/>
        <v>4</v>
      </c>
      <c r="F10" s="83"/>
      <c r="G10" s="42">
        <f>COUNTIF('Off-Ice Attendence'!$A$1:$J$34,J10)</f>
        <v>0</v>
      </c>
      <c r="H10" s="43">
        <f>COUNTIF('June 2026 Attendence'!A:CL,J10)</f>
        <v>4</v>
      </c>
      <c r="I10" s="42">
        <f t="shared" si="3"/>
        <v>0</v>
      </c>
      <c r="J10" s="135" t="s">
        <v>366</v>
      </c>
      <c r="L10" s="146" t="s">
        <v>744</v>
      </c>
    </row>
    <row r="11" spans="1:12" ht="15.75" customHeight="1">
      <c r="A11" s="40"/>
      <c r="B11" s="41">
        <v>1800</v>
      </c>
      <c r="C11" s="42"/>
      <c r="D11" s="41">
        <v>8</v>
      </c>
      <c r="E11" s="43">
        <f t="shared" si="0"/>
        <v>8</v>
      </c>
      <c r="F11" s="85"/>
      <c r="G11" s="42">
        <f>COUNTIF('Off-Ice Attendence'!$A$1:$J$34,J11)</f>
        <v>0</v>
      </c>
      <c r="H11" s="43">
        <f>COUNTIF('June 2026 Attendence'!A:CL,J11)</f>
        <v>6</v>
      </c>
      <c r="I11" s="42">
        <f t="shared" si="1"/>
        <v>2</v>
      </c>
      <c r="J11" s="135" t="s">
        <v>608</v>
      </c>
    </row>
    <row r="12" spans="1:12" ht="15.75" customHeight="1">
      <c r="A12" s="40"/>
      <c r="B12" s="41">
        <v>1800</v>
      </c>
      <c r="C12" s="42"/>
      <c r="D12" s="41">
        <v>4</v>
      </c>
      <c r="E12" s="43">
        <f t="shared" ref="E12:E14" si="8">D12+C12</f>
        <v>4</v>
      </c>
      <c r="F12" s="85"/>
      <c r="G12" s="42">
        <f>COUNTIF('Off-Ice Attendence'!$A$1:$J$34,J12)</f>
        <v>0</v>
      </c>
      <c r="H12" s="43">
        <f>COUNTIF('June 2026 Attendence'!A:CL,J12)</f>
        <v>4</v>
      </c>
      <c r="I12" s="42">
        <f t="shared" ref="I12:I14" si="9">E12-H12-F12</f>
        <v>0</v>
      </c>
      <c r="J12" s="135" t="s">
        <v>559</v>
      </c>
    </row>
    <row r="13" spans="1:12" ht="15.75" customHeight="1">
      <c r="A13" s="40"/>
      <c r="B13" s="41">
        <v>1800</v>
      </c>
      <c r="C13" s="42"/>
      <c r="D13" s="41">
        <v>4</v>
      </c>
      <c r="E13" s="43">
        <f t="shared" si="8"/>
        <v>4</v>
      </c>
      <c r="F13" s="85">
        <v>1</v>
      </c>
      <c r="G13" s="42">
        <f>COUNTIF('Off-Ice Attendence'!$A$1:$J$34,J13)</f>
        <v>0</v>
      </c>
      <c r="H13" s="43">
        <f>COUNTIF('June 2026 Attendence'!A:CL,J13)</f>
        <v>3</v>
      </c>
      <c r="I13" s="42">
        <f t="shared" si="9"/>
        <v>0</v>
      </c>
      <c r="J13" s="136" t="s">
        <v>570</v>
      </c>
    </row>
    <row r="14" spans="1:12" ht="15.75" customHeight="1">
      <c r="A14" s="40"/>
      <c r="B14" s="41">
        <v>1800</v>
      </c>
      <c r="C14" s="42"/>
      <c r="D14" s="41">
        <v>4</v>
      </c>
      <c r="E14" s="43">
        <f t="shared" si="8"/>
        <v>4</v>
      </c>
      <c r="F14" s="85"/>
      <c r="G14" s="42">
        <f>COUNTIF('Off-Ice Attendence'!$A$1:$J$34,J14)</f>
        <v>0</v>
      </c>
      <c r="H14" s="43">
        <f>COUNTIF('June 2026 Attendence'!A:CL,J14)</f>
        <v>4</v>
      </c>
      <c r="I14" s="42">
        <f t="shared" si="9"/>
        <v>0</v>
      </c>
      <c r="J14" s="135" t="s">
        <v>705</v>
      </c>
    </row>
    <row r="15" spans="1:12" ht="15.75" customHeight="1">
      <c r="A15" s="40"/>
      <c r="B15" s="41">
        <v>1800</v>
      </c>
      <c r="C15" s="42"/>
      <c r="D15" s="41">
        <v>4</v>
      </c>
      <c r="E15" s="43">
        <f>D15+C15</f>
        <v>4</v>
      </c>
      <c r="F15" s="85"/>
      <c r="G15" s="42">
        <f>COUNTIF('Off-Ice Attendence'!$A$1:$J$34,J15)</f>
        <v>0</v>
      </c>
      <c r="H15" s="43">
        <f>COUNTIF('June 2026 Attendence'!A:CL,J15)</f>
        <v>4</v>
      </c>
      <c r="I15" s="42">
        <f>E15-H15-F15</f>
        <v>0</v>
      </c>
      <c r="J15" s="135" t="s">
        <v>706</v>
      </c>
    </row>
    <row r="16" spans="1:12" ht="15.75" customHeight="1">
      <c r="A16" s="40"/>
      <c r="B16" s="41">
        <v>500</v>
      </c>
      <c r="C16" s="42"/>
      <c r="D16" s="41">
        <v>4</v>
      </c>
      <c r="E16" s="43">
        <f>D16+C16</f>
        <v>4</v>
      </c>
      <c r="F16" s="83"/>
      <c r="G16" s="42">
        <f>COUNTIF('Off-Ice Attendence'!$A$1:$J$34,J16)</f>
        <v>0</v>
      </c>
      <c r="H16" s="43">
        <f>COUNTIF('June 2026 Attendence'!A:CL,J16)</f>
        <v>4</v>
      </c>
      <c r="I16" s="42">
        <f>E16-H16-F16</f>
        <v>0</v>
      </c>
      <c r="J16" s="135" t="s">
        <v>707</v>
      </c>
    </row>
    <row r="17" spans="1:14" ht="15.75" customHeight="1">
      <c r="A17" s="40"/>
      <c r="B17" s="41">
        <v>500</v>
      </c>
      <c r="C17" s="42"/>
      <c r="D17" s="41">
        <v>2</v>
      </c>
      <c r="E17" s="43">
        <f>D17+C17</f>
        <v>2</v>
      </c>
      <c r="F17" s="83"/>
      <c r="G17" s="42">
        <f>COUNTIF('Off-Ice Attendence'!$A$1:$J$34,J17)</f>
        <v>0</v>
      </c>
      <c r="H17" s="43">
        <f>COUNTIF('June 2026 Attendence'!A:CL,J17)</f>
        <v>2</v>
      </c>
      <c r="I17" s="42">
        <f>E17-H17-F17</f>
        <v>0</v>
      </c>
      <c r="J17" s="135" t="s">
        <v>473</v>
      </c>
    </row>
    <row r="18" spans="1:14" ht="15.75" customHeight="1">
      <c r="A18" s="40"/>
      <c r="B18" s="41">
        <v>500</v>
      </c>
      <c r="C18" s="42"/>
      <c r="D18" s="41">
        <v>3</v>
      </c>
      <c r="E18" s="43">
        <f t="shared" ref="E18" si="10">D18+C18</f>
        <v>3</v>
      </c>
      <c r="F18" s="83"/>
      <c r="G18" s="42">
        <f>COUNTIF('Off-Ice Attendence'!$A$1:$J$34,#REF!)</f>
        <v>0</v>
      </c>
      <c r="H18" s="43">
        <f>COUNTIF('June 2026 Attendence'!A:CL,J18)</f>
        <v>3</v>
      </c>
      <c r="I18" s="42">
        <f t="shared" ref="I18" si="11">E18-H18-F18</f>
        <v>0</v>
      </c>
      <c r="J18" s="135" t="s">
        <v>332</v>
      </c>
    </row>
    <row r="19" spans="1:14" ht="15.75" customHeight="1" thickBot="1">
      <c r="A19" s="40"/>
      <c r="B19" s="41" t="s">
        <v>19</v>
      </c>
      <c r="C19" s="42"/>
      <c r="D19" s="41">
        <v>1</v>
      </c>
      <c r="E19" s="43">
        <f t="shared" ref="E19" si="12">D19+C19</f>
        <v>1</v>
      </c>
      <c r="F19" s="83"/>
      <c r="G19" s="42">
        <f>COUNTIF('Off-Ice Attendence'!$A$1:$J$34,#REF!)</f>
        <v>0</v>
      </c>
      <c r="H19" s="43">
        <v>1</v>
      </c>
      <c r="I19" s="42">
        <f t="shared" ref="I19" si="13">E19-H19-F19</f>
        <v>0</v>
      </c>
      <c r="J19" s="137" t="s">
        <v>594</v>
      </c>
    </row>
    <row r="20" spans="1:14" ht="15.75" customHeight="1" thickBot="1">
      <c r="A20" s="38"/>
      <c r="B20" s="46"/>
      <c r="C20" s="47" t="s">
        <v>383</v>
      </c>
      <c r="D20" s="47" t="s">
        <v>384</v>
      </c>
      <c r="E20" s="47" t="s">
        <v>385</v>
      </c>
      <c r="F20" s="84" t="s">
        <v>386</v>
      </c>
      <c r="G20" s="48" t="s">
        <v>387</v>
      </c>
      <c r="H20" s="47" t="s">
        <v>388</v>
      </c>
      <c r="I20" s="47" t="s">
        <v>385</v>
      </c>
      <c r="J20" s="39"/>
    </row>
    <row r="21" spans="1:14" ht="15.75" customHeight="1">
      <c r="A21" s="52"/>
      <c r="B21" s="41"/>
      <c r="C21" s="50"/>
      <c r="D21" s="44"/>
      <c r="E21" s="43">
        <f>D21+C21</f>
        <v>0</v>
      </c>
      <c r="F21" s="85"/>
      <c r="G21" s="42">
        <f>COUNTIF('Off-Ice Attendence'!$A$1:$J$34,J21)</f>
        <v>0</v>
      </c>
      <c r="H21" s="43">
        <f>COUNTIF('June 2026 Attendence'!A:CL,J21)</f>
        <v>3</v>
      </c>
      <c r="I21" s="42">
        <f>E21-H21-F21</f>
        <v>-3</v>
      </c>
      <c r="J21" s="138" t="s">
        <v>708</v>
      </c>
    </row>
    <row r="22" spans="1:14" ht="15.75" customHeight="1">
      <c r="A22" s="52"/>
      <c r="B22" s="41"/>
      <c r="C22" s="50"/>
      <c r="D22" s="44"/>
      <c r="E22" s="43">
        <f>D22+C22</f>
        <v>0</v>
      </c>
      <c r="F22" s="85"/>
      <c r="G22" s="42">
        <f>COUNTIF('Off-Ice Attendence'!$A$1:$J$34,J22)</f>
        <v>0</v>
      </c>
      <c r="H22" s="43">
        <f>COUNTIF('June 2026 Attendence'!A:CL,J22)</f>
        <v>3</v>
      </c>
      <c r="I22" s="42">
        <f>E22-H22-F22</f>
        <v>-3</v>
      </c>
      <c r="J22" s="139" t="s">
        <v>178</v>
      </c>
      <c r="M22" s="124"/>
    </row>
    <row r="23" spans="1:14" ht="15">
      <c r="A23" s="52"/>
      <c r="B23" s="41"/>
      <c r="C23" s="50"/>
      <c r="D23" s="44"/>
      <c r="E23" s="43">
        <f>D23+C23</f>
        <v>0</v>
      </c>
      <c r="F23" s="85"/>
      <c r="G23" s="42">
        <f>COUNTIF('Off-Ice Attendence'!$A$1:$J$34,J23)</f>
        <v>0</v>
      </c>
      <c r="H23" s="43">
        <f>COUNTIF('June 2026 Attendence'!A:CL,J23)</f>
        <v>4</v>
      </c>
      <c r="I23" s="42">
        <f>E23-H23-F23</f>
        <v>-4</v>
      </c>
      <c r="J23" s="139" t="s">
        <v>330</v>
      </c>
      <c r="L23" t="s">
        <v>735</v>
      </c>
      <c r="M23" s="124" t="s">
        <v>737</v>
      </c>
    </row>
    <row r="24" spans="1:14" ht="15">
      <c r="A24" s="40"/>
      <c r="B24" s="49"/>
      <c r="C24" s="50">
        <v>1</v>
      </c>
      <c r="D24" s="44"/>
      <c r="E24" s="43">
        <f t="shared" ref="E24:E30" si="14">D24+C24</f>
        <v>1</v>
      </c>
      <c r="F24" s="85"/>
      <c r="G24" s="42">
        <f>COUNTIF('Off-Ice Attendence'!$A$1:$J$34,J24)</f>
        <v>0</v>
      </c>
      <c r="H24" s="43">
        <f>COUNTIF('June 2026 Attendence'!A:CL,J24)</f>
        <v>4</v>
      </c>
      <c r="I24" s="42">
        <f t="shared" ref="I24:I30" si="15">E24-H24-F24</f>
        <v>-3</v>
      </c>
      <c r="J24" s="136" t="s">
        <v>316</v>
      </c>
      <c r="L24" t="s">
        <v>728</v>
      </c>
      <c r="M24" s="124">
        <v>46198</v>
      </c>
    </row>
    <row r="25" spans="1:14" ht="15">
      <c r="A25" s="51"/>
      <c r="B25" s="49"/>
      <c r="C25" s="50"/>
      <c r="D25" s="44"/>
      <c r="E25" s="43">
        <f t="shared" si="14"/>
        <v>0</v>
      </c>
      <c r="F25" s="85"/>
      <c r="G25" s="42">
        <f>COUNTIF('Off-Ice Attendence'!$A$1:$J$34,J25)</f>
        <v>0</v>
      </c>
      <c r="H25" s="43">
        <f>COUNTIF('June 2026 Attendence'!A:CL,J25)</f>
        <v>0</v>
      </c>
      <c r="I25" s="42">
        <f t="shared" si="15"/>
        <v>0</v>
      </c>
      <c r="J25" s="136" t="s">
        <v>312</v>
      </c>
      <c r="L25" t="s">
        <v>736</v>
      </c>
      <c r="M25" s="124">
        <v>46203</v>
      </c>
    </row>
    <row r="26" spans="1:14" ht="15">
      <c r="A26" s="51"/>
      <c r="B26" s="49"/>
      <c r="C26" s="50"/>
      <c r="D26" s="44"/>
      <c r="E26" s="43">
        <f>D26+C26</f>
        <v>0</v>
      </c>
      <c r="F26" s="85"/>
      <c r="G26" s="42">
        <f>COUNTIF('Off-Ice Attendence'!$A$1:$J$34,J26)</f>
        <v>0</v>
      </c>
      <c r="H26" s="43">
        <f>COUNTIF('June 2026 Attendence'!A:CL,J26)</f>
        <v>0</v>
      </c>
      <c r="I26" s="42">
        <f>E26-H26-F26</f>
        <v>0</v>
      </c>
      <c r="J26" s="140" t="s">
        <v>478</v>
      </c>
      <c r="L26" t="s">
        <v>741</v>
      </c>
      <c r="M26" s="124">
        <v>46190</v>
      </c>
      <c r="N26" t="s">
        <v>740</v>
      </c>
    </row>
    <row r="27" spans="1:14" ht="15">
      <c r="A27" s="52"/>
      <c r="B27" s="90"/>
      <c r="C27" s="50"/>
      <c r="D27" s="44"/>
      <c r="E27" s="43">
        <f t="shared" si="14"/>
        <v>0</v>
      </c>
      <c r="F27" s="85"/>
      <c r="G27" s="42">
        <f>COUNTIF('Off-Ice Attendence'!$A$1:$J$34,J27)</f>
        <v>0</v>
      </c>
      <c r="H27" s="43">
        <f>COUNTIF('June 2026 Attendence'!A:CL,J27)</f>
        <v>0</v>
      </c>
      <c r="I27" s="42">
        <f t="shared" si="15"/>
        <v>0</v>
      </c>
      <c r="J27" s="136" t="s">
        <v>416</v>
      </c>
    </row>
    <row r="28" spans="1:14" ht="15">
      <c r="A28" s="52"/>
      <c r="B28" s="90"/>
      <c r="C28" s="50">
        <v>1</v>
      </c>
      <c r="D28" s="44"/>
      <c r="E28" s="43">
        <f>D28+C28</f>
        <v>1</v>
      </c>
      <c r="F28" s="85"/>
      <c r="G28" s="42">
        <f>COUNTIF('Off-Ice Attendence'!$A$1:$J$34,J28)</f>
        <v>0</v>
      </c>
      <c r="H28" s="43">
        <f>COUNTIF('June 2026 Attendence'!A:CL,J28)</f>
        <v>1</v>
      </c>
      <c r="I28" s="42">
        <f>E28-H28-F28</f>
        <v>0</v>
      </c>
      <c r="J28" s="140" t="s">
        <v>647</v>
      </c>
    </row>
    <row r="29" spans="1:14" ht="15">
      <c r="A29" s="52"/>
      <c r="B29" s="90"/>
      <c r="C29" s="50"/>
      <c r="D29" s="44"/>
      <c r="E29" s="43">
        <f>D29+C29</f>
        <v>0</v>
      </c>
      <c r="F29" s="85"/>
      <c r="G29" s="42">
        <f>COUNTIF('Off-Ice Attendence'!$A$1:$J$34,J29)</f>
        <v>0</v>
      </c>
      <c r="H29" s="43">
        <f>COUNTIF('June 2026 Attendence'!A:CL,J29)</f>
        <v>0</v>
      </c>
      <c r="I29" s="42">
        <f>E29-H29-F29</f>
        <v>0</v>
      </c>
      <c r="J29" s="140" t="s">
        <v>615</v>
      </c>
    </row>
    <row r="30" spans="1:14" thickBot="1">
      <c r="A30" s="52"/>
      <c r="B30" s="90"/>
      <c r="C30" s="50">
        <v>1</v>
      </c>
      <c r="D30" s="44"/>
      <c r="E30" s="43">
        <f t="shared" si="14"/>
        <v>1</v>
      </c>
      <c r="F30" s="85"/>
      <c r="G30" s="42">
        <f>COUNTIF('Off-Ice Attendence'!$A$1:$J$34,J30)</f>
        <v>0</v>
      </c>
      <c r="H30" s="43">
        <f>COUNTIF('June 2026 Attendence'!A:CL,J30)</f>
        <v>3</v>
      </c>
      <c r="I30" s="42">
        <f t="shared" si="15"/>
        <v>-2</v>
      </c>
      <c r="J30" s="141" t="s">
        <v>452</v>
      </c>
    </row>
    <row r="31" spans="1:14" ht="16.5" thickBot="1">
      <c r="A31" s="46"/>
      <c r="B31" s="46"/>
      <c r="C31" s="47" t="s">
        <v>383</v>
      </c>
      <c r="D31" s="47" t="s">
        <v>384</v>
      </c>
      <c r="E31" s="47" t="s">
        <v>385</v>
      </c>
      <c r="F31" s="84" t="s">
        <v>386</v>
      </c>
      <c r="G31" s="48" t="s">
        <v>387</v>
      </c>
      <c r="H31" s="47" t="s">
        <v>388</v>
      </c>
      <c r="I31" s="47" t="s">
        <v>385</v>
      </c>
      <c r="J31" s="39"/>
    </row>
    <row r="32" spans="1:14" ht="15">
      <c r="A32" s="53"/>
      <c r="B32" s="41"/>
      <c r="C32" s="42">
        <v>0</v>
      </c>
      <c r="D32" s="54"/>
      <c r="E32" s="43">
        <f t="shared" ref="E32:E34" si="16">D32+C32</f>
        <v>0</v>
      </c>
      <c r="F32" s="87"/>
      <c r="G32" s="42">
        <f>COUNTIF('Off-Ice Attendence'!$A$1:$J$34,J32)</f>
        <v>0</v>
      </c>
      <c r="H32" s="43">
        <f>COUNTIF('June 2026 Attendence'!A:CL,J32)</f>
        <v>3</v>
      </c>
      <c r="I32" s="42">
        <f t="shared" ref="I32:I34" si="17">E32-H32-F32</f>
        <v>-3</v>
      </c>
      <c r="J32" s="134" t="s">
        <v>259</v>
      </c>
    </row>
    <row r="33" spans="1:13" ht="15">
      <c r="A33" s="55"/>
      <c r="B33" s="41"/>
      <c r="C33" s="42">
        <v>1</v>
      </c>
      <c r="D33" s="56"/>
      <c r="E33" s="43">
        <f t="shared" si="16"/>
        <v>1</v>
      </c>
      <c r="F33" s="116"/>
      <c r="G33" s="42">
        <f>COUNTIF('Off-Ice Attendence'!$A$1:$J$34,J33)</f>
        <v>0</v>
      </c>
      <c r="H33" s="43">
        <f>COUNTIF('June 2026 Attendence'!A:CL,J33)</f>
        <v>0</v>
      </c>
      <c r="I33" s="42">
        <f t="shared" si="17"/>
        <v>1</v>
      </c>
      <c r="J33" s="136" t="s">
        <v>314</v>
      </c>
      <c r="M33" s="123"/>
    </row>
    <row r="34" spans="1:13" ht="15">
      <c r="A34" s="53"/>
      <c r="B34" s="41"/>
      <c r="C34" s="42">
        <v>1</v>
      </c>
      <c r="D34" s="54"/>
      <c r="E34" s="43">
        <f t="shared" si="16"/>
        <v>1</v>
      </c>
      <c r="F34" s="87"/>
      <c r="G34" s="42">
        <f>COUNTIF('Off-Ice Attendence'!$A$1:$J$34,J34)</f>
        <v>0</v>
      </c>
      <c r="H34" s="43">
        <f>COUNTIF('June 2026 Attendence'!A:CL,J34)</f>
        <v>2</v>
      </c>
      <c r="I34" s="42">
        <f t="shared" si="17"/>
        <v>-1</v>
      </c>
      <c r="J34" s="136" t="s">
        <v>554</v>
      </c>
      <c r="L34" t="s">
        <v>723</v>
      </c>
      <c r="M34" s="124" t="s">
        <v>766</v>
      </c>
    </row>
    <row r="35" spans="1:13" ht="15">
      <c r="A35" s="55"/>
      <c r="B35" s="41"/>
      <c r="C35" s="42">
        <v>5</v>
      </c>
      <c r="D35" s="54"/>
      <c r="E35" s="43">
        <f>D35+C35</f>
        <v>5</v>
      </c>
      <c r="F35" s="88"/>
      <c r="G35" s="42">
        <f>COUNTIF('Off-Ice Attendence'!$A$1:$J$34,J35)</f>
        <v>0</v>
      </c>
      <c r="H35" s="43">
        <f>COUNTIF('June 2026 Attendence'!A:CL,J35)</f>
        <v>4</v>
      </c>
      <c r="I35" s="42">
        <f>E35-H35-F35</f>
        <v>1</v>
      </c>
      <c r="J35" s="136" t="s">
        <v>581</v>
      </c>
    </row>
    <row r="36" spans="1:13" ht="15">
      <c r="A36" s="55"/>
      <c r="B36" s="41"/>
      <c r="C36" s="42">
        <v>5</v>
      </c>
      <c r="D36" s="54"/>
      <c r="E36" s="43">
        <f t="shared" ref="E36:E41" si="18">D36+C36</f>
        <v>5</v>
      </c>
      <c r="F36" s="88"/>
      <c r="G36" s="42">
        <f>COUNTIF('Off-Ice Attendence'!$A$1:$J$34,J36)</f>
        <v>0</v>
      </c>
      <c r="H36" s="43">
        <f>COUNTIF('June 2026 Attendence'!A:CL,J36)</f>
        <v>4</v>
      </c>
      <c r="I36" s="42">
        <f t="shared" ref="I36:I41" si="19">E36-H36-F36</f>
        <v>1</v>
      </c>
      <c r="J36" s="136" t="s">
        <v>580</v>
      </c>
    </row>
    <row r="37" spans="1:13" ht="15">
      <c r="A37" s="55"/>
      <c r="B37" s="41"/>
      <c r="C37" s="42">
        <v>0</v>
      </c>
      <c r="D37" s="54"/>
      <c r="E37" s="43">
        <f t="shared" si="18"/>
        <v>0</v>
      </c>
      <c r="F37" s="88"/>
      <c r="G37" s="42">
        <f>COUNTIF('Off-Ice Attendence'!$A$1:$J$34,J37)</f>
        <v>0</v>
      </c>
      <c r="H37" s="43">
        <f>COUNTIF('June 2026 Attendence'!A:CL,J37)</f>
        <v>4</v>
      </c>
      <c r="I37" s="42">
        <f t="shared" si="19"/>
        <v>-4</v>
      </c>
      <c r="J37" s="136" t="s">
        <v>553</v>
      </c>
    </row>
    <row r="38" spans="1:13" ht="15">
      <c r="A38" s="55"/>
      <c r="B38" s="41"/>
      <c r="C38" s="42">
        <v>0</v>
      </c>
      <c r="D38" s="54"/>
      <c r="E38" s="43">
        <f t="shared" si="18"/>
        <v>0</v>
      </c>
      <c r="F38" s="88"/>
      <c r="G38" s="42">
        <f>COUNTIF('Off-Ice Attendence'!$A$1:$J$34,J38)</f>
        <v>0</v>
      </c>
      <c r="H38" s="43">
        <f>COUNTIF('June 2026 Attendence'!A:CL,J38)</f>
        <v>4</v>
      </c>
      <c r="I38" s="42">
        <f t="shared" si="19"/>
        <v>-4</v>
      </c>
      <c r="J38" s="136" t="s">
        <v>596</v>
      </c>
    </row>
    <row r="39" spans="1:13" ht="15">
      <c r="A39" s="55"/>
      <c r="B39" s="41"/>
      <c r="C39" s="42">
        <v>0</v>
      </c>
      <c r="D39" s="54"/>
      <c r="E39" s="43">
        <f t="shared" si="18"/>
        <v>0</v>
      </c>
      <c r="F39" s="88"/>
      <c r="G39" s="42">
        <f>COUNTIF('Off-Ice Attendence'!$A$1:$J$34,J39)</f>
        <v>0</v>
      </c>
      <c r="H39" s="43">
        <f>COUNTIF('June 2026 Attendence'!A:CL,J39)</f>
        <v>3</v>
      </c>
      <c r="I39" s="42">
        <f t="shared" si="19"/>
        <v>-3</v>
      </c>
      <c r="J39" s="136" t="s">
        <v>350</v>
      </c>
    </row>
    <row r="40" spans="1:13" ht="15">
      <c r="A40" s="55"/>
      <c r="B40" s="41"/>
      <c r="C40" s="42">
        <v>0</v>
      </c>
      <c r="D40" s="54"/>
      <c r="E40" s="43">
        <f t="shared" ref="E40" si="20">D40+C40</f>
        <v>0</v>
      </c>
      <c r="F40" s="88"/>
      <c r="G40" s="42">
        <f>COUNTIF('Off-Ice Attendence'!$A$1:$J$34,J40)</f>
        <v>0</v>
      </c>
      <c r="H40" s="43">
        <f>COUNTIF('June 2026 Attendence'!A:CL,J40)</f>
        <v>2</v>
      </c>
      <c r="I40" s="42">
        <f t="shared" ref="I40" si="21">E40-H40-F40</f>
        <v>-2</v>
      </c>
      <c r="J40" s="136" t="s">
        <v>397</v>
      </c>
    </row>
    <row r="41" spans="1:13" ht="15">
      <c r="A41" s="55"/>
      <c r="B41" s="41"/>
      <c r="C41" s="42">
        <v>1</v>
      </c>
      <c r="D41" s="54"/>
      <c r="E41" s="43">
        <f t="shared" si="18"/>
        <v>1</v>
      </c>
      <c r="F41" s="88"/>
      <c r="G41" s="42">
        <f>COUNTIF('Off-Ice Attendence'!$A$1:$J$34,J41)</f>
        <v>0</v>
      </c>
      <c r="H41" s="43">
        <f>COUNTIF('June 2026 Attendence'!A:CL,J41)</f>
        <v>1</v>
      </c>
      <c r="I41" s="42">
        <f t="shared" si="19"/>
        <v>0</v>
      </c>
      <c r="J41" s="136" t="s">
        <v>698</v>
      </c>
    </row>
    <row r="42" spans="1:13" ht="15">
      <c r="A42" s="55"/>
      <c r="B42" s="41"/>
      <c r="C42" s="42">
        <v>0</v>
      </c>
      <c r="D42" s="54"/>
      <c r="E42" s="43">
        <f t="shared" ref="E42" si="22">D42+C42</f>
        <v>0</v>
      </c>
      <c r="F42" s="88"/>
      <c r="G42" s="42">
        <f>COUNTIF('Off-Ice Attendence'!$A$1:$J$34,J42)</f>
        <v>0</v>
      </c>
      <c r="H42" s="43">
        <f>COUNTIF('June 2026 Attendence'!A:CL,J42)</f>
        <v>1</v>
      </c>
      <c r="I42" s="42">
        <f t="shared" ref="I42" si="23">E42-H42-F42</f>
        <v>-1</v>
      </c>
      <c r="J42" s="136" t="s">
        <v>699</v>
      </c>
    </row>
    <row r="43" spans="1:13" ht="15">
      <c r="A43" s="55"/>
      <c r="B43" s="41"/>
      <c r="C43" s="42">
        <v>0</v>
      </c>
      <c r="D43" s="54"/>
      <c r="E43" s="43">
        <f t="shared" ref="E43" si="24">D43+C43</f>
        <v>0</v>
      </c>
      <c r="F43" s="88"/>
      <c r="G43" s="42">
        <f>COUNTIF('Off-Ice Attendence'!$A$1:$J$34,J43)</f>
        <v>0</v>
      </c>
      <c r="H43" s="43">
        <f>COUNTIF('June 2026 Attendence'!A:CL,J43)</f>
        <v>4</v>
      </c>
      <c r="I43" s="42">
        <f t="shared" ref="I43" si="25">E43-H43-F43</f>
        <v>-4</v>
      </c>
      <c r="J43" s="136" t="s">
        <v>661</v>
      </c>
    </row>
    <row r="44" spans="1:13" ht="15">
      <c r="A44" s="55"/>
      <c r="B44" s="41"/>
      <c r="C44" s="42">
        <v>0</v>
      </c>
      <c r="D44" s="54"/>
      <c r="E44" s="43">
        <f t="shared" ref="E44:E49" si="26">D44+C44</f>
        <v>0</v>
      </c>
      <c r="F44" s="88"/>
      <c r="G44" s="42">
        <f>COUNTIF('Off-Ice Attendence'!$A$1:$J$34,J44)</f>
        <v>0</v>
      </c>
      <c r="H44" s="43">
        <f>COUNTIF('June 2026 Attendence'!A:CL,J44)</f>
        <v>3</v>
      </c>
      <c r="I44" s="42">
        <f t="shared" ref="I44:I49" si="27">E44-H44-F44</f>
        <v>-3</v>
      </c>
      <c r="J44" s="136" t="s">
        <v>720</v>
      </c>
    </row>
    <row r="45" spans="1:13" ht="15">
      <c r="A45" s="55"/>
      <c r="B45" s="41"/>
      <c r="C45" s="42">
        <v>0</v>
      </c>
      <c r="D45" s="54"/>
      <c r="E45" s="43">
        <f t="shared" ref="E45" si="28">D45+C45</f>
        <v>0</v>
      </c>
      <c r="F45" s="88"/>
      <c r="G45" s="42">
        <f>COUNTIF('Off-Ice Attendence'!$A$1:$J$34,J45)</f>
        <v>0</v>
      </c>
      <c r="H45" s="43">
        <f>COUNTIF('June 2026 Attendence'!A:CL,J45)</f>
        <v>1</v>
      </c>
      <c r="I45" s="42">
        <f t="shared" ref="I45" si="29">E45-H45-F45</f>
        <v>-1</v>
      </c>
      <c r="J45" s="136" t="s">
        <v>730</v>
      </c>
    </row>
    <row r="46" spans="1:13" ht="15">
      <c r="A46" s="55"/>
      <c r="B46" s="41"/>
      <c r="C46" s="42">
        <v>2</v>
      </c>
      <c r="D46" s="54"/>
      <c r="E46" s="43">
        <f t="shared" si="26"/>
        <v>2</v>
      </c>
      <c r="F46" s="88"/>
      <c r="G46" s="42">
        <f>COUNTIF('Off-Ice Attendence'!$A$1:$J$34,J46)</f>
        <v>0</v>
      </c>
      <c r="H46" s="43">
        <f>COUNTIF('June 2026 Attendence'!A:CL,J46)</f>
        <v>6</v>
      </c>
      <c r="I46" s="42">
        <f t="shared" si="27"/>
        <v>-4</v>
      </c>
      <c r="J46" s="136" t="s">
        <v>545</v>
      </c>
    </row>
    <row r="47" spans="1:13" ht="15">
      <c r="A47" s="55"/>
      <c r="B47" s="41"/>
      <c r="C47" s="42">
        <v>0</v>
      </c>
      <c r="D47" s="54"/>
      <c r="E47" s="43">
        <f t="shared" ref="E47" si="30">D47+C47</f>
        <v>0</v>
      </c>
      <c r="F47" s="88"/>
      <c r="G47" s="42">
        <f>COUNTIF('Off-Ice Attendence'!$A$1:$J$34,J47)</f>
        <v>0</v>
      </c>
      <c r="H47" s="43">
        <f>COUNTIF('June 2026 Attendence'!A:CL,J47)</f>
        <v>2</v>
      </c>
      <c r="I47" s="42">
        <f t="shared" ref="I47" si="31">E47-H47-F47</f>
        <v>-2</v>
      </c>
      <c r="J47" s="136" t="s">
        <v>721</v>
      </c>
    </row>
    <row r="48" spans="1:13" ht="15">
      <c r="A48" s="55"/>
      <c r="B48" s="41"/>
      <c r="C48" s="42">
        <v>0</v>
      </c>
      <c r="D48" s="54"/>
      <c r="E48" s="43">
        <f t="shared" ref="E48" si="32">D48+C48</f>
        <v>0</v>
      </c>
      <c r="F48" s="88"/>
      <c r="G48" s="42">
        <f>COUNTIF('Off-Ice Attendence'!$A$1:$J$34,J48)</f>
        <v>0</v>
      </c>
      <c r="H48" s="43">
        <f>COUNTIF('June 2026 Attendence'!A:CL,J48)</f>
        <v>3</v>
      </c>
      <c r="I48" s="42">
        <f t="shared" ref="I48" si="33">E48-H48-F48</f>
        <v>-3</v>
      </c>
      <c r="J48" s="147" t="s">
        <v>616</v>
      </c>
    </row>
    <row r="49" spans="1:14" thickBot="1">
      <c r="A49" s="55"/>
      <c r="B49" s="41"/>
      <c r="C49" s="42">
        <v>4</v>
      </c>
      <c r="D49" s="54"/>
      <c r="E49" s="43">
        <f t="shared" si="26"/>
        <v>4</v>
      </c>
      <c r="F49" s="88"/>
      <c r="G49" s="42">
        <f>COUNTIF('Off-Ice Attendence'!$A$1:$J$34,J49)</f>
        <v>0</v>
      </c>
      <c r="H49" s="43">
        <f>COUNTIF('June 2026 Attendence'!A:CL,J49)</f>
        <v>4</v>
      </c>
      <c r="I49" s="42">
        <f t="shared" si="27"/>
        <v>0</v>
      </c>
      <c r="J49" s="137" t="s">
        <v>404</v>
      </c>
    </row>
    <row r="50" spans="1:14" ht="16.5" thickBot="1">
      <c r="A50" s="57"/>
      <c r="B50" s="46"/>
      <c r="C50" s="47" t="s">
        <v>383</v>
      </c>
      <c r="D50" s="47" t="s">
        <v>384</v>
      </c>
      <c r="E50" s="47" t="s">
        <v>385</v>
      </c>
      <c r="F50" s="84" t="s">
        <v>386</v>
      </c>
      <c r="G50" s="48" t="s">
        <v>387</v>
      </c>
      <c r="H50" s="47" t="s">
        <v>388</v>
      </c>
      <c r="I50" s="47" t="s">
        <v>385</v>
      </c>
      <c r="J50" s="39"/>
    </row>
    <row r="51" spans="1:14" ht="15">
      <c r="A51" s="105"/>
      <c r="B51" s="106" t="s">
        <v>597</v>
      </c>
      <c r="C51" s="107">
        <v>0</v>
      </c>
      <c r="D51" s="108"/>
      <c r="E51" s="109">
        <f t="shared" ref="E51:E62" si="34">D51+C51</f>
        <v>0</v>
      </c>
      <c r="F51" s="110"/>
      <c r="G51" s="111">
        <f>COUNTIF('Off-Ice Attendence'!$A$1:$J$34,J51)</f>
        <v>0</v>
      </c>
      <c r="H51" s="109">
        <f>COUNTIF('June 2026 Attendence'!A:CL,J51)</f>
        <v>5</v>
      </c>
      <c r="I51" s="111">
        <f t="shared" ref="I51:I62" si="35">E51-H51-F51</f>
        <v>-5</v>
      </c>
      <c r="J51" s="142" t="s">
        <v>232</v>
      </c>
    </row>
    <row r="52" spans="1:14" ht="15">
      <c r="A52" s="113"/>
      <c r="B52" s="106" t="s">
        <v>597</v>
      </c>
      <c r="C52" s="112">
        <v>0</v>
      </c>
      <c r="D52" s="112"/>
      <c r="E52" s="109">
        <f t="shared" si="34"/>
        <v>0</v>
      </c>
      <c r="F52" s="114"/>
      <c r="G52" s="111">
        <f>COUNTIF('Off-Ice Attendence'!$A$1:$J$34,J52)</f>
        <v>0</v>
      </c>
      <c r="H52" s="109">
        <f>COUNTIF('June 2026 Attendence'!A:CL,J52)</f>
        <v>1</v>
      </c>
      <c r="I52" s="111">
        <f t="shared" si="35"/>
        <v>-1</v>
      </c>
      <c r="J52" s="143" t="s">
        <v>115</v>
      </c>
    </row>
    <row r="53" spans="1:14" ht="15">
      <c r="A53" s="113"/>
      <c r="B53" s="106" t="s">
        <v>597</v>
      </c>
      <c r="C53" s="109">
        <v>0</v>
      </c>
      <c r="D53" s="109"/>
      <c r="E53" s="109">
        <f t="shared" si="34"/>
        <v>0</v>
      </c>
      <c r="F53" s="115"/>
      <c r="G53" s="111">
        <f>COUNTIF('Off-Ice Attendence'!$A$1:$J$34,J53)</f>
        <v>0</v>
      </c>
      <c r="H53" s="109">
        <f>COUNTIF('June 2026 Attendence'!A:CL,J53)</f>
        <v>0</v>
      </c>
      <c r="I53" s="111">
        <f t="shared" si="35"/>
        <v>0</v>
      </c>
      <c r="J53" s="143" t="s">
        <v>242</v>
      </c>
    </row>
    <row r="54" spans="1:14" ht="15">
      <c r="A54" s="113"/>
      <c r="B54" s="106" t="s">
        <v>597</v>
      </c>
      <c r="C54" s="109">
        <v>0</v>
      </c>
      <c r="D54" s="109"/>
      <c r="E54" s="109">
        <f t="shared" ref="E54" si="36">D54+C54</f>
        <v>0</v>
      </c>
      <c r="F54" s="115"/>
      <c r="G54" s="111">
        <f>COUNTIF('Off-Ice Attendence'!$A$1:$J$34,J54)</f>
        <v>0</v>
      </c>
      <c r="H54" s="109">
        <f>COUNTIF('June 2026 Attendence'!A:CL,J54)</f>
        <v>0</v>
      </c>
      <c r="I54" s="111">
        <f t="shared" ref="I54" si="37">E54-H54-F54</f>
        <v>0</v>
      </c>
      <c r="J54" s="144" t="s">
        <v>433</v>
      </c>
      <c r="L54" t="s">
        <v>726</v>
      </c>
      <c r="M54" s="124">
        <v>46191</v>
      </c>
      <c r="N54" t="s">
        <v>739</v>
      </c>
    </row>
    <row r="55" spans="1:14" ht="15">
      <c r="A55" s="113"/>
      <c r="B55" s="106" t="s">
        <v>597</v>
      </c>
      <c r="C55" s="109">
        <v>0</v>
      </c>
      <c r="D55" s="109"/>
      <c r="E55" s="109">
        <f t="shared" si="34"/>
        <v>0</v>
      </c>
      <c r="F55" s="115"/>
      <c r="G55" s="111">
        <f>COUNTIF('Off-Ice Attendence'!$A$1:$J$34,J55)</f>
        <v>0</v>
      </c>
      <c r="H55" s="109">
        <f>COUNTIF('June 2026 Attendence'!A:CL,J55)</f>
        <v>11</v>
      </c>
      <c r="I55" s="111">
        <f t="shared" si="35"/>
        <v>-11</v>
      </c>
      <c r="J55" s="143" t="s">
        <v>480</v>
      </c>
      <c r="L55" t="s">
        <v>738</v>
      </c>
      <c r="M55" s="124">
        <v>46193</v>
      </c>
      <c r="N55" t="s">
        <v>739</v>
      </c>
    </row>
    <row r="56" spans="1:14" ht="15">
      <c r="A56" s="113"/>
      <c r="B56" s="106" t="s">
        <v>597</v>
      </c>
      <c r="C56" s="109">
        <v>0</v>
      </c>
      <c r="D56" s="109"/>
      <c r="E56" s="109">
        <f t="shared" si="34"/>
        <v>0</v>
      </c>
      <c r="F56" s="115"/>
      <c r="G56" s="111">
        <f>COUNTIF('Off-Ice Attendence'!$A$1:$J$34,J56)</f>
        <v>0</v>
      </c>
      <c r="H56" s="109">
        <f>COUNTIF('June 2026 Attendence'!A:CL,J56)</f>
        <v>0</v>
      </c>
      <c r="I56" s="111">
        <f t="shared" si="35"/>
        <v>0</v>
      </c>
      <c r="J56" s="143" t="s">
        <v>481</v>
      </c>
      <c r="L56" s="146" t="s">
        <v>726</v>
      </c>
      <c r="M56" s="124">
        <v>46193</v>
      </c>
      <c r="N56" s="146" t="s">
        <v>762</v>
      </c>
    </row>
    <row r="57" spans="1:14" ht="15">
      <c r="A57" s="113"/>
      <c r="B57" s="106" t="s">
        <v>597</v>
      </c>
      <c r="C57" s="109">
        <v>0</v>
      </c>
      <c r="D57" s="109"/>
      <c r="E57" s="109">
        <f t="shared" si="34"/>
        <v>0</v>
      </c>
      <c r="F57" s="115"/>
      <c r="G57" s="111">
        <f>COUNTIF('Off-Ice Attendence'!$A$1:$J$34,J57)</f>
        <v>0</v>
      </c>
      <c r="H57" s="109">
        <f>COUNTIF('June 2026 Attendence'!A:CL,J57)</f>
        <v>3</v>
      </c>
      <c r="I57" s="111">
        <f t="shared" si="35"/>
        <v>-3</v>
      </c>
      <c r="J57" s="143" t="s">
        <v>143</v>
      </c>
    </row>
    <row r="58" spans="1:14" ht="15">
      <c r="A58" s="113"/>
      <c r="B58" s="106" t="s">
        <v>597</v>
      </c>
      <c r="C58" s="109">
        <v>0</v>
      </c>
      <c r="D58" s="109"/>
      <c r="E58" s="109">
        <f t="shared" si="34"/>
        <v>0</v>
      </c>
      <c r="F58" s="115"/>
      <c r="G58" s="111">
        <f>COUNTIF('Off-Ice Attendence'!$A$1:$J$34,J58)</f>
        <v>0</v>
      </c>
      <c r="H58" s="109">
        <f>COUNTIF('June 2026 Attendence'!A:CL,J58)</f>
        <v>0</v>
      </c>
      <c r="I58" s="111">
        <f t="shared" si="35"/>
        <v>0</v>
      </c>
      <c r="J58" s="143" t="s">
        <v>226</v>
      </c>
    </row>
    <row r="59" spans="1:14" ht="15">
      <c r="A59" s="113"/>
      <c r="B59" s="106" t="s">
        <v>597</v>
      </c>
      <c r="C59" s="109">
        <v>1</v>
      </c>
      <c r="D59" s="109"/>
      <c r="E59" s="109">
        <f t="shared" ref="E59" si="38">D59+C59</f>
        <v>1</v>
      </c>
      <c r="F59" s="115"/>
      <c r="G59" s="111">
        <f>COUNTIF('Off-Ice Attendence'!$A$1:$J$34,J59)</f>
        <v>0</v>
      </c>
      <c r="H59" s="109">
        <f>COUNTIF('June 2026 Attendence'!A:CL,J59)</f>
        <v>5</v>
      </c>
      <c r="I59" s="111">
        <f t="shared" ref="I59" si="39">E59-H59-F59</f>
        <v>-4</v>
      </c>
      <c r="J59" s="143" t="s">
        <v>396</v>
      </c>
    </row>
    <row r="60" spans="1:14" ht="15">
      <c r="A60" s="113"/>
      <c r="B60" s="106" t="s">
        <v>597</v>
      </c>
      <c r="C60" s="109">
        <v>0</v>
      </c>
      <c r="D60" s="109"/>
      <c r="E60" s="109">
        <f t="shared" ref="E60" si="40">D60+C60</f>
        <v>0</v>
      </c>
      <c r="F60" s="115"/>
      <c r="G60" s="111">
        <f>COUNTIF('Off-Ice Attendence'!$A$1:$J$34,J60)</f>
        <v>0</v>
      </c>
      <c r="H60" s="109">
        <f>COUNTIF('June 2026 Attendence'!A:CL,J60)</f>
        <v>8</v>
      </c>
      <c r="I60" s="111">
        <f t="shared" ref="I60" si="41">E60-H60-F60</f>
        <v>-8</v>
      </c>
      <c r="J60" s="143" t="s">
        <v>538</v>
      </c>
    </row>
    <row r="61" spans="1:14" ht="15">
      <c r="A61" s="113"/>
      <c r="B61" s="106" t="s">
        <v>597</v>
      </c>
      <c r="C61" s="109">
        <v>1</v>
      </c>
      <c r="D61" s="109"/>
      <c r="E61" s="109">
        <f t="shared" ref="E61" si="42">D61+C61</f>
        <v>1</v>
      </c>
      <c r="F61" s="115"/>
      <c r="G61" s="111">
        <f>COUNTIF('Off-Ice Attendence'!$A$1:$J$34,J61)</f>
        <v>0</v>
      </c>
      <c r="H61" s="109">
        <f>COUNTIF('June 2026 Attendence'!A:CL,J61)</f>
        <v>8</v>
      </c>
      <c r="I61" s="111">
        <f t="shared" ref="I61" si="43">E61-H61-F61</f>
        <v>-7</v>
      </c>
      <c r="J61" s="143" t="s">
        <v>147</v>
      </c>
    </row>
    <row r="62" spans="1:14" thickBot="1">
      <c r="A62" s="113"/>
      <c r="B62" s="106" t="s">
        <v>597</v>
      </c>
      <c r="C62" s="109">
        <v>0</v>
      </c>
      <c r="D62" s="109"/>
      <c r="E62" s="109">
        <f t="shared" si="34"/>
        <v>0</v>
      </c>
      <c r="F62" s="115"/>
      <c r="G62" s="111">
        <f>COUNTIF('Off-Ice Attendence'!$A$1:$J$34,J62)</f>
        <v>0</v>
      </c>
      <c r="H62" s="109">
        <f>COUNTIF('June 2026 Attendence'!A:CL,J62)</f>
        <v>0</v>
      </c>
      <c r="I62" s="111">
        <f t="shared" si="35"/>
        <v>0</v>
      </c>
      <c r="J62" s="145" t="s">
        <v>562</v>
      </c>
    </row>
    <row r="63" spans="1:14" ht="16.5" thickBot="1">
      <c r="A63" s="57"/>
      <c r="B63" s="46"/>
      <c r="C63" s="47" t="s">
        <v>383</v>
      </c>
      <c r="D63" s="47" t="s">
        <v>384</v>
      </c>
      <c r="E63" s="47" t="s">
        <v>385</v>
      </c>
      <c r="F63" s="84" t="s">
        <v>386</v>
      </c>
      <c r="G63" s="48" t="s">
        <v>387</v>
      </c>
      <c r="H63" s="47" t="s">
        <v>388</v>
      </c>
      <c r="I63" s="47" t="s">
        <v>385</v>
      </c>
      <c r="J63" s="39"/>
    </row>
    <row r="64" spans="1:14" ht="15">
      <c r="A64" s="52"/>
      <c r="B64" s="41">
        <v>2800</v>
      </c>
      <c r="C64" s="42"/>
      <c r="D64" s="41"/>
      <c r="E64" s="43">
        <f t="shared" ref="E64:E76" si="44">D64+C64</f>
        <v>0</v>
      </c>
      <c r="F64" s="85"/>
      <c r="G64" s="42">
        <f>COUNTIF('Off-Ice Attendence'!$A$1:$J$34,J64)</f>
        <v>0</v>
      </c>
      <c r="H64" s="43">
        <f>COUNTIF('June 2026 Attendence'!A:CL,J64)</f>
        <v>5</v>
      </c>
      <c r="I64" s="42">
        <f t="shared" ref="I64:I76" si="45">E64-H64-F64</f>
        <v>-5</v>
      </c>
      <c r="J64" s="126" t="s">
        <v>321</v>
      </c>
    </row>
    <row r="65" spans="1:13" ht="15">
      <c r="A65" s="58"/>
      <c r="B65" s="43">
        <v>1500</v>
      </c>
      <c r="C65" s="42"/>
      <c r="D65" s="43"/>
      <c r="E65" s="43">
        <f t="shared" si="44"/>
        <v>0</v>
      </c>
      <c r="F65" s="86"/>
      <c r="G65" s="42">
        <f>COUNTIF('Off-Ice Attendence'!$A$1:$J$34,J65)</f>
        <v>0</v>
      </c>
      <c r="H65" s="43">
        <f>COUNTIF('June 2026 Attendence'!A:CL,J65)</f>
        <v>3</v>
      </c>
      <c r="I65" s="42">
        <f t="shared" si="45"/>
        <v>-3</v>
      </c>
      <c r="J65" s="103" t="s">
        <v>277</v>
      </c>
    </row>
    <row r="66" spans="1:13" ht="15">
      <c r="A66" s="52"/>
      <c r="B66" s="41">
        <v>400</v>
      </c>
      <c r="C66" s="42"/>
      <c r="D66" s="41"/>
      <c r="E66" s="43">
        <f t="shared" si="44"/>
        <v>0</v>
      </c>
      <c r="F66" s="85"/>
      <c r="G66" s="42">
        <f>COUNTIF('Off-Ice Attendence'!$A$1:$J$34,J66)</f>
        <v>0</v>
      </c>
      <c r="H66" s="43">
        <f>COUNTIF('June 2026 Attendence'!A:CL,J66)</f>
        <v>2</v>
      </c>
      <c r="I66" s="42">
        <f t="shared" si="45"/>
        <v>-2</v>
      </c>
      <c r="J66" s="103" t="s">
        <v>326</v>
      </c>
      <c r="L66" t="s">
        <v>731</v>
      </c>
      <c r="M66" t="s">
        <v>732</v>
      </c>
    </row>
    <row r="67" spans="1:13" ht="15">
      <c r="A67" s="52"/>
      <c r="B67" s="41">
        <v>400</v>
      </c>
      <c r="C67" s="42"/>
      <c r="D67" s="41"/>
      <c r="E67" s="43">
        <f t="shared" si="44"/>
        <v>0</v>
      </c>
      <c r="F67" s="85"/>
      <c r="G67" s="42">
        <f>COUNTIF('Off-Ice Attendence'!$A$1:$J$34,J67)</f>
        <v>0</v>
      </c>
      <c r="H67" s="43">
        <f>COUNTIF('June 2026 Attendence'!A:CL,J67)</f>
        <v>1</v>
      </c>
      <c r="I67" s="42">
        <f t="shared" si="45"/>
        <v>-1</v>
      </c>
      <c r="J67" s="102" t="s">
        <v>315</v>
      </c>
    </row>
    <row r="68" spans="1:13" ht="15">
      <c r="A68" s="52"/>
      <c r="B68" s="41">
        <v>400</v>
      </c>
      <c r="C68" s="42">
        <v>0</v>
      </c>
      <c r="D68" s="41"/>
      <c r="E68" s="43">
        <f t="shared" si="44"/>
        <v>0</v>
      </c>
      <c r="F68" s="85"/>
      <c r="G68" s="42">
        <f>COUNTIF('Off-Ice Attendence'!$A$1:$J$34,J68)</f>
        <v>0</v>
      </c>
      <c r="H68" s="43">
        <f>COUNTIF('June 2026 Attendence'!A:CL,J68)</f>
        <v>2</v>
      </c>
      <c r="I68" s="42">
        <f t="shared" si="45"/>
        <v>-2</v>
      </c>
      <c r="J68" s="103" t="s">
        <v>571</v>
      </c>
    </row>
    <row r="69" spans="1:13" ht="15">
      <c r="A69" s="52"/>
      <c r="B69" s="41">
        <v>400</v>
      </c>
      <c r="C69" s="42">
        <v>2</v>
      </c>
      <c r="D69" s="41"/>
      <c r="E69" s="43">
        <f t="shared" ref="E69" si="46">D69+C69</f>
        <v>2</v>
      </c>
      <c r="F69" s="85"/>
      <c r="G69" s="42">
        <f>COUNTIF('Off-Ice Attendence'!$A$1:$J$34,J69)</f>
        <v>0</v>
      </c>
      <c r="H69" s="43">
        <f>COUNTIF('June 2026 Attendence'!A:CL,J69)</f>
        <v>10</v>
      </c>
      <c r="I69" s="42">
        <f t="shared" ref="I69" si="47">E69-H69-F69</f>
        <v>-8</v>
      </c>
      <c r="J69" s="103" t="s">
        <v>341</v>
      </c>
    </row>
    <row r="70" spans="1:13" ht="15">
      <c r="A70" s="52"/>
      <c r="B70" s="41">
        <v>400</v>
      </c>
      <c r="C70" s="42"/>
      <c r="D70" s="41"/>
      <c r="E70" s="43">
        <f>D70+C70</f>
        <v>0</v>
      </c>
      <c r="F70" s="85"/>
      <c r="G70" s="42">
        <f>COUNTIF('Off-Ice Attendence'!$A$1:$J$34,J70)</f>
        <v>0</v>
      </c>
      <c r="H70" s="43">
        <f>COUNTIF('June 2026 Attendence'!A:CL,J70)</f>
        <v>1</v>
      </c>
      <c r="I70" s="42">
        <f>E70-H70-F70</f>
        <v>-1</v>
      </c>
      <c r="J70" s="103" t="s">
        <v>333</v>
      </c>
    </row>
    <row r="71" spans="1:13" ht="15">
      <c r="A71" s="52"/>
      <c r="B71" s="41">
        <v>1500</v>
      </c>
      <c r="C71" s="42">
        <v>1</v>
      </c>
      <c r="D71" s="41"/>
      <c r="E71" s="43">
        <f>D71+C71</f>
        <v>1</v>
      </c>
      <c r="F71" s="85"/>
      <c r="G71" s="42">
        <f>COUNTIF('Off-Ice Attendence'!$A$1:$J$34,J71)</f>
        <v>0</v>
      </c>
      <c r="H71" s="43">
        <f>COUNTIF('June 2026 Attendence'!A:CL,J71)</f>
        <v>3</v>
      </c>
      <c r="I71" s="42">
        <f>E71-H71-F71</f>
        <v>-2</v>
      </c>
      <c r="J71" s="103" t="s">
        <v>329</v>
      </c>
    </row>
    <row r="72" spans="1:13" ht="15">
      <c r="A72" s="52"/>
      <c r="B72" s="41">
        <v>400</v>
      </c>
      <c r="C72" s="42">
        <v>1</v>
      </c>
      <c r="D72" s="41"/>
      <c r="E72" s="43">
        <f t="shared" si="44"/>
        <v>1</v>
      </c>
      <c r="F72" s="85"/>
      <c r="G72" s="42">
        <f>COUNTIF('Off-Ice Attendence'!$A$1:$J$34,J72)</f>
        <v>0</v>
      </c>
      <c r="H72" s="43">
        <f>COUNTIF('June 2026 Attendence'!A:CL,J72)</f>
        <v>4</v>
      </c>
      <c r="I72" s="42">
        <f t="shared" si="45"/>
        <v>-3</v>
      </c>
      <c r="J72" s="103" t="s">
        <v>453</v>
      </c>
    </row>
    <row r="73" spans="1:13" ht="15">
      <c r="A73" s="91"/>
      <c r="B73" s="92">
        <v>400</v>
      </c>
      <c r="C73" s="93">
        <v>0</v>
      </c>
      <c r="D73" s="41"/>
      <c r="E73" s="49">
        <f t="shared" si="44"/>
        <v>0</v>
      </c>
      <c r="F73" s="94"/>
      <c r="G73" s="42">
        <f>COUNTIF('Off-Ice Attendence'!$A$1:$J$34,J73)</f>
        <v>0</v>
      </c>
      <c r="H73" s="43">
        <f>COUNTIF('June 2026 Attendence'!A:CL,J73)</f>
        <v>8</v>
      </c>
      <c r="I73" s="93">
        <f t="shared" si="45"/>
        <v>-8</v>
      </c>
      <c r="J73" s="102" t="s">
        <v>626</v>
      </c>
    </row>
    <row r="74" spans="1:13" s="95" customFormat="1" ht="15">
      <c r="A74" s="96"/>
      <c r="B74" s="90">
        <v>400</v>
      </c>
      <c r="C74" s="97"/>
      <c r="D74" s="41"/>
      <c r="E74" s="97">
        <f>D74+C74</f>
        <v>0</v>
      </c>
      <c r="F74" s="121"/>
      <c r="G74" s="42">
        <f>COUNTIF('Off-Ice Attendence'!$A$1:$J$34,J74)</f>
        <v>0</v>
      </c>
      <c r="H74" s="43">
        <f>COUNTIF('June 2026 Attendence'!A:CL,J74)</f>
        <v>4</v>
      </c>
      <c r="I74" s="97">
        <f>E74-H74-F74</f>
        <v>-4</v>
      </c>
      <c r="J74" s="103" t="s">
        <v>210</v>
      </c>
      <c r="K74"/>
    </row>
    <row r="75" spans="1:13" s="95" customFormat="1" ht="15">
      <c r="A75" s="104"/>
      <c r="B75" s="90">
        <v>400</v>
      </c>
      <c r="C75" s="97"/>
      <c r="D75" s="41"/>
      <c r="E75" s="97">
        <f>D75+C75</f>
        <v>0</v>
      </c>
      <c r="F75" s="121"/>
      <c r="G75" s="42">
        <f>COUNTIF('Off-Ice Attendence'!$A$1:$J$34,J75)</f>
        <v>0</v>
      </c>
      <c r="H75" s="43">
        <f>COUNTIF('June 2026 Attendence'!A:CL,J75)</f>
        <v>4</v>
      </c>
      <c r="I75" s="97">
        <f>E75-H75-F75</f>
        <v>-4</v>
      </c>
      <c r="J75" s="127" t="s">
        <v>208</v>
      </c>
      <c r="K75"/>
    </row>
    <row r="76" spans="1:13" ht="15">
      <c r="A76" s="52"/>
      <c r="B76" s="41">
        <v>2800</v>
      </c>
      <c r="C76" s="50">
        <v>0</v>
      </c>
      <c r="D76" s="41"/>
      <c r="E76" s="50">
        <f t="shared" si="44"/>
        <v>0</v>
      </c>
      <c r="F76" s="121"/>
      <c r="G76" s="42">
        <f>COUNTIF('Off-Ice Attendence'!$A$1:$J$34,J76)</f>
        <v>0</v>
      </c>
      <c r="H76" s="43">
        <f>COUNTIF('June 2026 Attendence'!A:CL,J76)</f>
        <v>1</v>
      </c>
      <c r="I76" s="50">
        <f t="shared" si="45"/>
        <v>-1</v>
      </c>
      <c r="J76" s="102" t="s">
        <v>579</v>
      </c>
    </row>
    <row r="77" spans="1:13" ht="15">
      <c r="A77" s="52"/>
      <c r="B77" s="41">
        <v>2800</v>
      </c>
      <c r="C77" s="50">
        <v>0</v>
      </c>
      <c r="D77" s="41"/>
      <c r="E77" s="50">
        <f t="shared" ref="E77:E78" si="48">D77+C77</f>
        <v>0</v>
      </c>
      <c r="F77" s="121"/>
      <c r="G77" s="42">
        <f>COUNTIF('Off-Ice Attendence'!$A$1:$J$34,J77)</f>
        <v>0</v>
      </c>
      <c r="H77" s="43">
        <f>COUNTIF('June 2026 Attendence'!A:CL,J77)</f>
        <v>5</v>
      </c>
      <c r="I77" s="50">
        <f t="shared" ref="I77:I78" si="49">E77-H77-F77</f>
        <v>-5</v>
      </c>
      <c r="J77" s="103" t="s">
        <v>697</v>
      </c>
    </row>
    <row r="78" spans="1:13" ht="15">
      <c r="A78" s="52"/>
      <c r="B78" s="41">
        <v>2800</v>
      </c>
      <c r="C78" s="50">
        <v>0</v>
      </c>
      <c r="D78" s="41"/>
      <c r="E78" s="50">
        <f t="shared" si="48"/>
        <v>0</v>
      </c>
      <c r="F78" s="121"/>
      <c r="G78" s="42">
        <f>COUNTIF('Off-Ice Attendence'!$A$1:$J$34,J78)</f>
        <v>0</v>
      </c>
      <c r="H78" s="43">
        <f>COUNTIF('June 2026 Attendence'!A:CL,J78)</f>
        <v>2</v>
      </c>
      <c r="I78" s="50">
        <f t="shared" si="49"/>
        <v>-2</v>
      </c>
      <c r="J78" s="103" t="s">
        <v>572</v>
      </c>
    </row>
    <row r="79" spans="1:13" ht="15">
      <c r="A79" s="52"/>
      <c r="B79" s="41">
        <v>2800</v>
      </c>
      <c r="C79" s="50">
        <v>1</v>
      </c>
      <c r="D79" s="41"/>
      <c r="E79" s="41">
        <f t="shared" ref="E79:E83" si="50">D79+C79</f>
        <v>1</v>
      </c>
      <c r="F79" s="85"/>
      <c r="G79" s="42">
        <f>COUNTIF('Off-Ice Attendence'!$A$1:$J$34,J79)</f>
        <v>0</v>
      </c>
      <c r="H79" s="43">
        <f>COUNTIF('June 2026 Attendence'!A:CL,J79)</f>
        <v>5</v>
      </c>
      <c r="I79" s="50">
        <f t="shared" ref="I79:I83" si="51">E79-H79-F79</f>
        <v>-4</v>
      </c>
      <c r="J79" s="103" t="s">
        <v>603</v>
      </c>
    </row>
    <row r="80" spans="1:13" ht="15">
      <c r="A80" s="52"/>
      <c r="B80" s="41">
        <v>2800</v>
      </c>
      <c r="C80" s="50">
        <v>1</v>
      </c>
      <c r="D80" s="41"/>
      <c r="E80" s="41">
        <f t="shared" si="50"/>
        <v>1</v>
      </c>
      <c r="F80" s="85"/>
      <c r="G80" s="42">
        <f>COUNTIF('Off-Ice Attendence'!$A$1:$J$34,J80)</f>
        <v>0</v>
      </c>
      <c r="H80" s="43">
        <f>COUNTIF('June 2026 Attendence'!A:CL,J80)</f>
        <v>5</v>
      </c>
      <c r="I80" s="50">
        <f t="shared" si="51"/>
        <v>-4</v>
      </c>
      <c r="J80" s="103" t="s">
        <v>604</v>
      </c>
    </row>
    <row r="81" spans="1:12" ht="15">
      <c r="A81" s="52"/>
      <c r="B81" s="41">
        <v>2800</v>
      </c>
      <c r="C81" s="50"/>
      <c r="D81" s="41"/>
      <c r="E81" s="41">
        <f t="shared" ref="E81" si="52">D81+C81</f>
        <v>0</v>
      </c>
      <c r="F81" s="85"/>
      <c r="G81" s="42">
        <f>COUNTIF('Off-Ice Attendence'!$A$1:$J$34,J81)</f>
        <v>0</v>
      </c>
      <c r="H81" s="43">
        <f>COUNTIF('June 2026 Attendence'!A:CL,J81)</f>
        <v>1</v>
      </c>
      <c r="I81" s="50">
        <f t="shared" ref="I81" si="53">E81-H81-F81</f>
        <v>-1</v>
      </c>
      <c r="J81" s="103" t="s">
        <v>351</v>
      </c>
    </row>
    <row r="82" spans="1:12" ht="15">
      <c r="A82" s="52"/>
      <c r="B82" s="41">
        <v>2800</v>
      </c>
      <c r="C82" s="50"/>
      <c r="D82" s="41"/>
      <c r="E82" s="41">
        <f t="shared" ref="E82" si="54">D82+C82</f>
        <v>0</v>
      </c>
      <c r="F82" s="85"/>
      <c r="G82" s="42">
        <f>COUNTIF('Off-Ice Attendence'!$A$1:$J$34,J82)</f>
        <v>0</v>
      </c>
      <c r="H82" s="43">
        <f>COUNTIF('June 2026 Attendence'!A:CL,J82)</f>
        <v>4</v>
      </c>
      <c r="I82" s="50">
        <f t="shared" ref="I82" si="55">E82-H82-F82</f>
        <v>-4</v>
      </c>
      <c r="J82" s="103" t="s">
        <v>328</v>
      </c>
    </row>
    <row r="83" spans="1:12" ht="15">
      <c r="A83" s="52"/>
      <c r="B83" s="41">
        <v>2800</v>
      </c>
      <c r="C83" s="50"/>
      <c r="D83" s="41"/>
      <c r="E83" s="41">
        <f t="shared" si="50"/>
        <v>0</v>
      </c>
      <c r="F83" s="85"/>
      <c r="G83" s="42">
        <f>COUNTIF('Off-Ice Attendence'!$A$1:$J$34,J83)</f>
        <v>0</v>
      </c>
      <c r="H83" s="43">
        <f>COUNTIF('June 2026 Attendence'!A:CL,J83)</f>
        <v>3</v>
      </c>
      <c r="I83" s="50">
        <f t="shared" si="51"/>
        <v>-3</v>
      </c>
      <c r="J83" s="103" t="s">
        <v>594</v>
      </c>
    </row>
    <row r="84" spans="1:12" ht="15">
      <c r="A84" s="52"/>
      <c r="B84" s="41">
        <v>2800</v>
      </c>
      <c r="C84" s="50">
        <v>0</v>
      </c>
      <c r="D84" s="41"/>
      <c r="E84" s="41">
        <f t="shared" ref="E84:E87" si="56">D84+C84</f>
        <v>0</v>
      </c>
      <c r="F84" s="85"/>
      <c r="G84" s="42">
        <f>COUNTIF('Off-Ice Attendence'!$A$1:$J$34,J84)</f>
        <v>0</v>
      </c>
      <c r="H84" s="43">
        <f>COUNTIF('June 2026 Attendence'!A:CL,J84)</f>
        <v>5</v>
      </c>
      <c r="I84" s="50">
        <f t="shared" ref="I84:I87" si="57">E84-H84-F84</f>
        <v>-5</v>
      </c>
      <c r="J84" s="103" t="s">
        <v>606</v>
      </c>
    </row>
    <row r="85" spans="1:12" ht="15">
      <c r="A85" s="52"/>
      <c r="B85" s="41">
        <v>2800</v>
      </c>
      <c r="C85" s="50">
        <v>1</v>
      </c>
      <c r="D85" s="41"/>
      <c r="E85" s="41">
        <f t="shared" si="56"/>
        <v>1</v>
      </c>
      <c r="F85" s="85"/>
      <c r="G85" s="42">
        <f>COUNTIF('Off-Ice Attendence'!$A$1:$J$34,J85)</f>
        <v>0</v>
      </c>
      <c r="H85" s="43">
        <f>COUNTIF('June 2026 Attendence'!A:CL,J85)</f>
        <v>7</v>
      </c>
      <c r="I85" s="50">
        <f t="shared" si="57"/>
        <v>-6</v>
      </c>
      <c r="J85" s="103" t="s">
        <v>607</v>
      </c>
    </row>
    <row r="86" spans="1:12" ht="15">
      <c r="A86" s="52"/>
      <c r="B86" s="41">
        <v>2800</v>
      </c>
      <c r="C86" s="50">
        <v>1</v>
      </c>
      <c r="D86" s="41"/>
      <c r="E86" s="41">
        <f t="shared" si="56"/>
        <v>1</v>
      </c>
      <c r="F86" s="85">
        <v>1</v>
      </c>
      <c r="G86" s="42">
        <f>COUNTIF('Off-Ice Attendence'!$A$1:$J$34,J86)</f>
        <v>0</v>
      </c>
      <c r="H86" s="43">
        <f>COUNTIF('June 2026 Attendence'!A:CL,J86)</f>
        <v>2</v>
      </c>
      <c r="I86" s="50">
        <f t="shared" si="57"/>
        <v>-2</v>
      </c>
      <c r="J86" s="103" t="s">
        <v>588</v>
      </c>
    </row>
    <row r="87" spans="1:12" thickBot="1">
      <c r="A87" s="52"/>
      <c r="B87" s="41">
        <v>2800</v>
      </c>
      <c r="C87" s="50"/>
      <c r="D87" s="41"/>
      <c r="E87" s="41">
        <f t="shared" si="56"/>
        <v>0</v>
      </c>
      <c r="F87" s="85"/>
      <c r="G87" s="42">
        <f>COUNTIF('Off-Ice Attendence'!$A$1:$J$34,J87)</f>
        <v>0</v>
      </c>
      <c r="H87" s="43">
        <f>COUNTIF('June 2026 Attendence'!A:CL,J87)</f>
        <v>2</v>
      </c>
      <c r="I87" s="50">
        <f t="shared" si="57"/>
        <v>-2</v>
      </c>
      <c r="J87" s="128" t="s">
        <v>742</v>
      </c>
    </row>
    <row r="88" spans="1:12">
      <c r="A88" s="57"/>
      <c r="B88" s="46"/>
      <c r="C88" s="47" t="s">
        <v>383</v>
      </c>
      <c r="D88" s="47" t="s">
        <v>384</v>
      </c>
      <c r="E88" s="47" t="s">
        <v>385</v>
      </c>
      <c r="F88" s="84" t="s">
        <v>386</v>
      </c>
      <c r="G88" s="48" t="s">
        <v>387</v>
      </c>
      <c r="H88" s="47" t="s">
        <v>388</v>
      </c>
      <c r="I88" s="47" t="s">
        <v>385</v>
      </c>
      <c r="J88" s="125"/>
      <c r="L88" s="11"/>
    </row>
    <row r="89" spans="1:12" ht="15">
      <c r="A89" s="59"/>
      <c r="B89" s="60"/>
      <c r="C89" s="45"/>
      <c r="D89" s="61"/>
      <c r="E89" s="43">
        <f t="shared" ref="E89:E108" si="58">D89+C89</f>
        <v>0</v>
      </c>
      <c r="F89" s="88"/>
      <c r="G89" s="42">
        <f>COUNTIF('Off-Ice Attendence'!$A$1:$J$34,J89)</f>
        <v>0</v>
      </c>
      <c r="H89" s="43">
        <f>COUNTIF('June 2026 Attendence'!A:CL,J89)</f>
        <v>1</v>
      </c>
      <c r="I89" s="42">
        <f t="shared" ref="I89:I108" si="59">E89-H89-F89</f>
        <v>-1</v>
      </c>
      <c r="J89" s="45" t="s">
        <v>124</v>
      </c>
    </row>
    <row r="90" spans="1:12" ht="15">
      <c r="A90" s="59"/>
      <c r="B90" s="60"/>
      <c r="C90" s="45"/>
      <c r="D90" s="61"/>
      <c r="E90" s="43">
        <f t="shared" si="58"/>
        <v>0</v>
      </c>
      <c r="F90" s="88"/>
      <c r="G90" s="42">
        <f>COUNTIF('Off-Ice Attendence'!$A$1:$J$34,J90)</f>
        <v>0</v>
      </c>
      <c r="H90" s="43">
        <f>COUNTIF('June 2026 Attendence'!A:CL,J90)</f>
        <v>1</v>
      </c>
      <c r="I90" s="42">
        <f t="shared" si="59"/>
        <v>-1</v>
      </c>
      <c r="J90" s="45" t="s">
        <v>111</v>
      </c>
    </row>
    <row r="91" spans="1:12" ht="15">
      <c r="A91" s="59"/>
      <c r="B91" s="60"/>
      <c r="C91" s="45"/>
      <c r="D91" s="61"/>
      <c r="E91" s="43">
        <f t="shared" si="58"/>
        <v>0</v>
      </c>
      <c r="F91" s="88"/>
      <c r="G91" s="42">
        <f>COUNTIF('Off-Ice Attendence'!$A$1:$J$34,J91)</f>
        <v>0</v>
      </c>
      <c r="H91" s="43">
        <f>COUNTIF('June 2026 Attendence'!A:CL,J91)</f>
        <v>3</v>
      </c>
      <c r="I91" s="42">
        <f t="shared" si="59"/>
        <v>-3</v>
      </c>
      <c r="J91" s="45" t="s">
        <v>167</v>
      </c>
    </row>
    <row r="92" spans="1:12" ht="15">
      <c r="A92" s="59"/>
      <c r="B92" s="60"/>
      <c r="C92" s="45"/>
      <c r="D92" s="61"/>
      <c r="E92" s="43">
        <f t="shared" si="58"/>
        <v>0</v>
      </c>
      <c r="F92" s="88"/>
      <c r="G92" s="42">
        <f>COUNTIF('Off-Ice Attendence'!$A$1:$J$34,J92)</f>
        <v>0</v>
      </c>
      <c r="H92" s="43">
        <f>COUNTIF('June 2026 Attendence'!A:CL,J92)</f>
        <v>3</v>
      </c>
      <c r="I92" s="42">
        <f t="shared" si="59"/>
        <v>-3</v>
      </c>
      <c r="J92" s="45" t="s">
        <v>174</v>
      </c>
    </row>
    <row r="93" spans="1:12" ht="15">
      <c r="A93" s="59"/>
      <c r="B93" s="60"/>
      <c r="C93" s="45"/>
      <c r="D93" s="61"/>
      <c r="E93" s="43">
        <f t="shared" si="58"/>
        <v>0</v>
      </c>
      <c r="F93" s="88"/>
      <c r="G93" s="42">
        <f>COUNTIF('Off-Ice Attendence'!$A$1:$J$34,J93)</f>
        <v>0</v>
      </c>
      <c r="H93" s="43">
        <f>COUNTIF('June 2026 Attendence'!A:CL,J93)</f>
        <v>1</v>
      </c>
      <c r="I93" s="42">
        <f t="shared" si="59"/>
        <v>-1</v>
      </c>
      <c r="J93" s="45" t="s">
        <v>141</v>
      </c>
    </row>
    <row r="94" spans="1:12" ht="15">
      <c r="A94" s="59"/>
      <c r="B94" s="60"/>
      <c r="C94" s="45"/>
      <c r="D94" s="61"/>
      <c r="E94" s="43">
        <f t="shared" si="58"/>
        <v>0</v>
      </c>
      <c r="F94" s="88"/>
      <c r="G94" s="42">
        <f>COUNTIF('Off-Ice Attendence'!$A$1:$J$34,J94)</f>
        <v>0</v>
      </c>
      <c r="H94" s="43">
        <f>COUNTIF('June 2026 Attendence'!A:CL,J94)</f>
        <v>1</v>
      </c>
      <c r="I94" s="42">
        <f t="shared" si="59"/>
        <v>-1</v>
      </c>
      <c r="J94" s="45" t="s">
        <v>121</v>
      </c>
    </row>
    <row r="95" spans="1:12" ht="15">
      <c r="A95" s="59"/>
      <c r="B95" s="60"/>
      <c r="C95" s="45"/>
      <c r="D95" s="61"/>
      <c r="E95" s="43">
        <f t="shared" si="58"/>
        <v>0</v>
      </c>
      <c r="F95" s="88"/>
      <c r="G95" s="42">
        <f>COUNTIF('Off-Ice Attendence'!$A$1:$J$34,J95)</f>
        <v>0</v>
      </c>
      <c r="H95" s="43">
        <f>COUNTIF('June 2026 Attendence'!A:CL,J95)</f>
        <v>1</v>
      </c>
      <c r="I95" s="42">
        <f t="shared" si="59"/>
        <v>-1</v>
      </c>
      <c r="J95" s="45" t="s">
        <v>131</v>
      </c>
    </row>
    <row r="96" spans="1:12" ht="15">
      <c r="A96" s="59"/>
      <c r="B96" s="60"/>
      <c r="C96" s="45"/>
      <c r="D96" s="61"/>
      <c r="E96" s="43">
        <f t="shared" si="58"/>
        <v>0</v>
      </c>
      <c r="F96" s="88"/>
      <c r="G96" s="42">
        <f>COUNTIF('Off-Ice Attendence'!$A$1:$J$34,J96)</f>
        <v>0</v>
      </c>
      <c r="H96" s="43">
        <f>COUNTIF('June 2026 Attendence'!A:CL,J96)</f>
        <v>2</v>
      </c>
      <c r="I96" s="42">
        <f t="shared" si="59"/>
        <v>-2</v>
      </c>
      <c r="J96" s="45" t="s">
        <v>237</v>
      </c>
    </row>
    <row r="97" spans="1:10" ht="15">
      <c r="A97" s="59"/>
      <c r="B97" s="60"/>
      <c r="C97" s="45"/>
      <c r="D97" s="61"/>
      <c r="E97" s="43">
        <f t="shared" si="58"/>
        <v>0</v>
      </c>
      <c r="F97" s="88"/>
      <c r="G97" s="42">
        <f>COUNTIF('Off-Ice Attendence'!$A$1:$J$34,J97)</f>
        <v>0</v>
      </c>
      <c r="H97" s="43">
        <f>COUNTIF('June 2026 Attendence'!A:CL,J97)</f>
        <v>1</v>
      </c>
      <c r="I97" s="42">
        <f t="shared" si="59"/>
        <v>-1</v>
      </c>
      <c r="J97" s="45" t="s">
        <v>390</v>
      </c>
    </row>
    <row r="98" spans="1:10" ht="15">
      <c r="A98" s="59"/>
      <c r="B98" s="60"/>
      <c r="C98" s="45"/>
      <c r="D98" s="61"/>
      <c r="E98" s="43">
        <f t="shared" si="58"/>
        <v>0</v>
      </c>
      <c r="F98" s="88"/>
      <c r="G98" s="42">
        <f>COUNTIF('Off-Ice Attendence'!$A$1:$J$34,J98)</f>
        <v>0</v>
      </c>
      <c r="H98" s="43">
        <f>COUNTIF('June 2026 Attendence'!A:CL,J98)</f>
        <v>2</v>
      </c>
      <c r="I98" s="42">
        <f t="shared" si="59"/>
        <v>-2</v>
      </c>
      <c r="J98" s="45" t="s">
        <v>169</v>
      </c>
    </row>
    <row r="99" spans="1:10" ht="15">
      <c r="A99" s="59"/>
      <c r="B99" s="60"/>
      <c r="C99" s="45"/>
      <c r="D99" s="61"/>
      <c r="E99" s="43">
        <f t="shared" si="58"/>
        <v>0</v>
      </c>
      <c r="F99" s="88"/>
      <c r="G99" s="42">
        <f>COUNTIF('Off-Ice Attendence'!$A$1:$J$34,J99)</f>
        <v>0</v>
      </c>
      <c r="H99" s="43">
        <f>COUNTIF('June 2026 Attendence'!A:CL,J99)</f>
        <v>1</v>
      </c>
      <c r="I99" s="42">
        <f t="shared" si="59"/>
        <v>-1</v>
      </c>
      <c r="J99" s="45" t="s">
        <v>155</v>
      </c>
    </row>
    <row r="100" spans="1:10" ht="15">
      <c r="A100" s="59"/>
      <c r="B100" s="60"/>
      <c r="C100" s="45"/>
      <c r="D100" s="61"/>
      <c r="E100" s="43">
        <f t="shared" si="58"/>
        <v>0</v>
      </c>
      <c r="F100" s="88"/>
      <c r="G100" s="42">
        <f>COUNTIF('Off-Ice Attendence'!$A$1:$J$34,J100)</f>
        <v>0</v>
      </c>
      <c r="H100" s="43">
        <f>COUNTIF('June 2026 Attendence'!A:CL,J100)</f>
        <v>4</v>
      </c>
      <c r="I100" s="42">
        <f t="shared" si="59"/>
        <v>-4</v>
      </c>
      <c r="J100" s="45" t="s">
        <v>324</v>
      </c>
    </row>
    <row r="101" spans="1:10" ht="15">
      <c r="A101" s="59"/>
      <c r="B101" s="60"/>
      <c r="C101" s="45"/>
      <c r="D101" s="61"/>
      <c r="E101" s="43">
        <f t="shared" si="58"/>
        <v>0</v>
      </c>
      <c r="F101" s="88"/>
      <c r="G101" s="42">
        <f>COUNTIF('Off-Ice Attendence'!$A$1:$J$34,J101)</f>
        <v>0</v>
      </c>
      <c r="H101" s="43">
        <f>COUNTIF('June 2026 Attendence'!A:CL,J101)</f>
        <v>0</v>
      </c>
      <c r="I101" s="42">
        <f t="shared" si="59"/>
        <v>0</v>
      </c>
      <c r="J101" s="45" t="s">
        <v>213</v>
      </c>
    </row>
    <row r="102" spans="1:10" ht="15">
      <c r="A102" s="59"/>
      <c r="B102" s="60"/>
      <c r="C102" s="45"/>
      <c r="D102" s="61"/>
      <c r="E102" s="43">
        <f t="shared" si="58"/>
        <v>0</v>
      </c>
      <c r="F102" s="88"/>
      <c r="G102" s="42">
        <f>COUNTIF('Off-Ice Attendence'!$A$1:$J$34,J102)</f>
        <v>0</v>
      </c>
      <c r="H102" s="43">
        <f>COUNTIF('June 2026 Attendence'!A:CL,J102)</f>
        <v>3</v>
      </c>
      <c r="I102" s="42">
        <f t="shared" si="59"/>
        <v>-3</v>
      </c>
      <c r="J102" s="45" t="s">
        <v>192</v>
      </c>
    </row>
    <row r="103" spans="1:10" ht="15">
      <c r="A103" s="59"/>
      <c r="B103" s="60"/>
      <c r="C103" s="45"/>
      <c r="D103" s="61"/>
      <c r="E103" s="43">
        <f t="shared" si="58"/>
        <v>0</v>
      </c>
      <c r="F103" s="88"/>
      <c r="G103" s="42">
        <f>COUNTIF('Off-Ice Attendence'!$A$1:$J$34,J103)</f>
        <v>0</v>
      </c>
      <c r="H103" s="43">
        <f>COUNTIF('June 2026 Attendence'!A:CL,J103)</f>
        <v>0</v>
      </c>
      <c r="I103" s="42">
        <f t="shared" si="59"/>
        <v>0</v>
      </c>
      <c r="J103" s="45" t="s">
        <v>172</v>
      </c>
    </row>
    <row r="104" spans="1:10" ht="15">
      <c r="A104" s="62"/>
      <c r="B104" s="7"/>
      <c r="C104" s="45"/>
      <c r="D104" s="61"/>
      <c r="E104" s="43">
        <f t="shared" si="58"/>
        <v>0</v>
      </c>
      <c r="F104" s="88"/>
      <c r="G104" s="42">
        <f>COUNTIF('Off-Ice Attendence'!$A$1:$J$34,J104)</f>
        <v>0</v>
      </c>
      <c r="H104" s="43">
        <f>COUNTIF('June 2026 Attendence'!A:CL,J104)</f>
        <v>0</v>
      </c>
      <c r="I104" s="42">
        <f t="shared" si="59"/>
        <v>0</v>
      </c>
      <c r="J104" s="44" t="s">
        <v>157</v>
      </c>
    </row>
    <row r="105" spans="1:10" ht="15">
      <c r="A105" s="52"/>
      <c r="B105" s="41"/>
      <c r="C105" s="42"/>
      <c r="D105" s="41"/>
      <c r="E105" s="43">
        <f t="shared" si="58"/>
        <v>0</v>
      </c>
      <c r="F105" s="85"/>
      <c r="G105" s="42">
        <f>COUNTIF('Off-Ice Attendence'!$A$1:$J$34,J105)</f>
        <v>0</v>
      </c>
      <c r="H105" s="43">
        <f>COUNTIF('June 2026 Attendence'!A:CL,J105)</f>
        <v>0</v>
      </c>
      <c r="I105" s="42">
        <f t="shared" si="59"/>
        <v>0</v>
      </c>
      <c r="J105" s="45" t="s">
        <v>340</v>
      </c>
    </row>
    <row r="106" spans="1:10" ht="15">
      <c r="A106" s="52"/>
      <c r="B106" s="41"/>
      <c r="C106" s="42"/>
      <c r="D106" s="41"/>
      <c r="E106" s="43">
        <f t="shared" si="58"/>
        <v>0</v>
      </c>
      <c r="F106" s="85"/>
      <c r="G106" s="42">
        <f>COUNTIF('Off-Ice Attendence'!$A$1:$J$34,J106)</f>
        <v>0</v>
      </c>
      <c r="H106" s="43">
        <f>COUNTIF('June 2026 Attendence'!A:CL,J106)</f>
        <v>0</v>
      </c>
      <c r="I106" s="42">
        <f t="shared" si="59"/>
        <v>0</v>
      </c>
      <c r="J106" s="45" t="s">
        <v>342</v>
      </c>
    </row>
    <row r="107" spans="1:10" ht="15">
      <c r="A107" s="52"/>
      <c r="B107" s="41"/>
      <c r="C107" s="42"/>
      <c r="D107" s="41"/>
      <c r="E107" s="43">
        <f t="shared" si="58"/>
        <v>0</v>
      </c>
      <c r="F107" s="85"/>
      <c r="G107" s="42">
        <f>COUNTIF('Off-Ice Attendence'!$A$1:$J$34,J107)</f>
        <v>0</v>
      </c>
      <c r="H107" s="43">
        <f>COUNTIF('June 2026 Attendence'!A:CL,J107)</f>
        <v>2</v>
      </c>
      <c r="I107" s="42">
        <f t="shared" si="59"/>
        <v>-2</v>
      </c>
      <c r="J107" s="45" t="s">
        <v>356</v>
      </c>
    </row>
    <row r="108" spans="1:10" ht="15">
      <c r="A108" s="52"/>
      <c r="B108" s="41"/>
      <c r="C108" s="42"/>
      <c r="D108" s="41"/>
      <c r="E108" s="43">
        <f t="shared" si="58"/>
        <v>0</v>
      </c>
      <c r="F108" s="85"/>
      <c r="G108" s="42">
        <f>COUNTIF('Off-Ice Attendence'!$A$1:$J$34,J108)</f>
        <v>0</v>
      </c>
      <c r="H108" s="43">
        <f>COUNTIF('June 2026 Attendence'!A:CL,J108)</f>
        <v>2</v>
      </c>
      <c r="I108" s="42">
        <f t="shared" si="59"/>
        <v>-2</v>
      </c>
      <c r="J108" s="44" t="s">
        <v>251</v>
      </c>
    </row>
    <row r="109" spans="1:10" ht="15">
      <c r="A109" s="52"/>
      <c r="B109" s="41"/>
      <c r="C109" s="42"/>
      <c r="D109" s="41"/>
      <c r="E109" s="43">
        <f t="shared" ref="E109:E115" si="60">D109+C109</f>
        <v>0</v>
      </c>
      <c r="F109" s="85"/>
      <c r="G109" s="42">
        <f>COUNTIF('Off-Ice Attendence'!$A$1:$J$34,J109)</f>
        <v>0</v>
      </c>
      <c r="H109" s="43">
        <f>COUNTIF('June 2026 Attendence'!A:CL,J109)</f>
        <v>0</v>
      </c>
      <c r="I109" s="42">
        <f t="shared" ref="I109:I115" si="61">E109-H109-F109</f>
        <v>0</v>
      </c>
      <c r="J109" s="99" t="s">
        <v>407</v>
      </c>
    </row>
    <row r="110" spans="1:10" ht="15">
      <c r="A110" s="52"/>
      <c r="B110" s="41"/>
      <c r="C110" s="42"/>
      <c r="D110" s="41"/>
      <c r="E110" s="43">
        <f t="shared" si="60"/>
        <v>0</v>
      </c>
      <c r="F110" s="85"/>
      <c r="G110" s="42">
        <f>COUNTIF('Off-Ice Attendence'!$A$1:$J$34,J110)</f>
        <v>0</v>
      </c>
      <c r="H110" s="43">
        <f>COUNTIF('June 2026 Attendence'!A:CL,J110)</f>
        <v>0</v>
      </c>
      <c r="I110" s="42">
        <f t="shared" si="61"/>
        <v>0</v>
      </c>
      <c r="J110" s="44" t="s">
        <v>418</v>
      </c>
    </row>
    <row r="111" spans="1:10" ht="15">
      <c r="A111" s="52"/>
      <c r="B111" s="41"/>
      <c r="C111" s="42"/>
      <c r="D111" s="41"/>
      <c r="E111" s="43">
        <f t="shared" si="60"/>
        <v>0</v>
      </c>
      <c r="F111" s="85"/>
      <c r="G111" s="42">
        <f>COUNTIF('Off-Ice Attendence'!$A$1:$J$34,J111)</f>
        <v>0</v>
      </c>
      <c r="H111" s="43">
        <f>COUNTIF('June 2026 Attendence'!A:CL,J111)</f>
        <v>1</v>
      </c>
      <c r="I111" s="42">
        <f t="shared" si="61"/>
        <v>-1</v>
      </c>
      <c r="J111" s="99" t="s">
        <v>455</v>
      </c>
    </row>
    <row r="112" spans="1:10" ht="15">
      <c r="A112" s="52"/>
      <c r="B112" s="41"/>
      <c r="C112" s="42"/>
      <c r="D112" s="41"/>
      <c r="E112" s="43">
        <f t="shared" si="60"/>
        <v>0</v>
      </c>
      <c r="F112" s="85"/>
      <c r="G112" s="42">
        <f>COUNTIF('Off-Ice Attendence'!$A$1:$J$34,J112)</f>
        <v>0</v>
      </c>
      <c r="H112" s="43">
        <f>COUNTIF('June 2026 Attendence'!A:CL,J112)</f>
        <v>0</v>
      </c>
      <c r="I112" s="42">
        <f t="shared" si="61"/>
        <v>0</v>
      </c>
      <c r="J112" s="99" t="s">
        <v>458</v>
      </c>
    </row>
    <row r="113" spans="1:10" ht="15">
      <c r="A113" s="52"/>
      <c r="B113" s="41"/>
      <c r="C113" s="42"/>
      <c r="D113" s="41"/>
      <c r="E113" s="43">
        <f t="shared" si="60"/>
        <v>0</v>
      </c>
      <c r="F113" s="85"/>
      <c r="G113" s="42">
        <f>COUNTIF('Off-Ice Attendence'!$A$1:$J$34,J113)</f>
        <v>0</v>
      </c>
      <c r="H113" s="43">
        <f>COUNTIF('June 2026 Attendence'!A:CL,J113)</f>
        <v>0</v>
      </c>
      <c r="I113" s="42">
        <f t="shared" si="61"/>
        <v>0</v>
      </c>
      <c r="J113" s="99" t="s">
        <v>461</v>
      </c>
    </row>
    <row r="114" spans="1:10" ht="15">
      <c r="A114" s="52"/>
      <c r="B114" s="41"/>
      <c r="C114" s="42"/>
      <c r="D114" s="41"/>
      <c r="E114" s="43">
        <f t="shared" si="60"/>
        <v>0</v>
      </c>
      <c r="F114" s="85"/>
      <c r="G114" s="42">
        <f>COUNTIF('Off-Ice Attendence'!$A$1:$J$34,J114)</f>
        <v>0</v>
      </c>
      <c r="H114" s="43">
        <f>COUNTIF('June 2026 Attendence'!A:CL,J114)</f>
        <v>0</v>
      </c>
      <c r="I114" s="42">
        <f t="shared" si="61"/>
        <v>0</v>
      </c>
      <c r="J114" s="99" t="s">
        <v>463</v>
      </c>
    </row>
    <row r="115" spans="1:10" ht="15">
      <c r="A115" s="52"/>
      <c r="B115" s="41"/>
      <c r="C115" s="42"/>
      <c r="D115" s="41"/>
      <c r="E115" s="43">
        <f t="shared" si="60"/>
        <v>0</v>
      </c>
      <c r="F115" s="85"/>
      <c r="G115" s="42">
        <f>COUNTIF('Off-Ice Attendence'!$A$1:$J$34,J115)</f>
        <v>0</v>
      </c>
      <c r="H115" s="43">
        <f>COUNTIF('June 2026 Attendence'!A:CL,J115)</f>
        <v>0</v>
      </c>
      <c r="I115" s="42">
        <f t="shared" si="61"/>
        <v>0</v>
      </c>
      <c r="J115" s="99" t="s">
        <v>189</v>
      </c>
    </row>
    <row r="116" spans="1:10" ht="15">
      <c r="A116" s="52"/>
      <c r="B116" s="41"/>
      <c r="C116" s="42"/>
      <c r="D116" s="41"/>
      <c r="E116" s="43">
        <f t="shared" ref="E116:E122" si="62">D116+C116</f>
        <v>0</v>
      </c>
      <c r="F116" s="85"/>
      <c r="G116" s="42">
        <f>COUNTIF('Off-Ice Attendence'!$A$1:$J$34,J116)</f>
        <v>0</v>
      </c>
      <c r="H116" s="43">
        <f>COUNTIF('June 2026 Attendence'!A:CL,J116)</f>
        <v>1</v>
      </c>
      <c r="I116" s="42">
        <f t="shared" ref="I116:I122" si="63">E116-H116-F116</f>
        <v>-1</v>
      </c>
      <c r="J116" s="99" t="s">
        <v>521</v>
      </c>
    </row>
    <row r="117" spans="1:10" ht="15">
      <c r="A117" s="52"/>
      <c r="B117" s="41"/>
      <c r="C117" s="42"/>
      <c r="D117" s="41"/>
      <c r="E117" s="43">
        <f t="shared" si="62"/>
        <v>0</v>
      </c>
      <c r="F117" s="85"/>
      <c r="G117" s="42">
        <f>COUNTIF('Off-Ice Attendence'!$A$1:$J$34,J117)</f>
        <v>0</v>
      </c>
      <c r="H117" s="43">
        <f>COUNTIF('June 2026 Attendence'!A:CL,J117)</f>
        <v>0</v>
      </c>
      <c r="I117" s="42">
        <f t="shared" si="63"/>
        <v>0</v>
      </c>
      <c r="J117" s="99" t="s">
        <v>527</v>
      </c>
    </row>
    <row r="118" spans="1:10" ht="15">
      <c r="A118" s="52"/>
      <c r="B118" s="41"/>
      <c r="C118" s="42"/>
      <c r="D118" s="41"/>
      <c r="E118" s="43">
        <f t="shared" si="62"/>
        <v>0</v>
      </c>
      <c r="F118" s="85"/>
      <c r="G118" s="42">
        <f>COUNTIF('Off-Ice Attendence'!$A$1:$J$34,J118)</f>
        <v>0</v>
      </c>
      <c r="H118" s="43">
        <f>COUNTIF('June 2026 Attendence'!A:CL,J118)</f>
        <v>0</v>
      </c>
      <c r="I118" s="42">
        <f t="shared" si="63"/>
        <v>0</v>
      </c>
      <c r="J118" s="99" t="s">
        <v>529</v>
      </c>
    </row>
    <row r="119" spans="1:10" ht="15">
      <c r="A119" s="52"/>
      <c r="B119" s="41"/>
      <c r="C119" s="42"/>
      <c r="D119" s="41"/>
      <c r="E119" s="43">
        <f t="shared" si="62"/>
        <v>0</v>
      </c>
      <c r="F119" s="85"/>
      <c r="G119" s="42">
        <f>COUNTIF('Off-Ice Attendence'!$A$1:$J$34,J119)</f>
        <v>0</v>
      </c>
      <c r="H119" s="43">
        <f>COUNTIF('June 2026 Attendence'!A:CL,J119)</f>
        <v>0</v>
      </c>
      <c r="I119" s="42">
        <f t="shared" si="63"/>
        <v>0</v>
      </c>
      <c r="J119" s="99" t="s">
        <v>532</v>
      </c>
    </row>
    <row r="120" spans="1:10" ht="15">
      <c r="A120" s="52"/>
      <c r="B120" s="41"/>
      <c r="C120" s="42"/>
      <c r="D120" s="41"/>
      <c r="E120" s="43">
        <f t="shared" si="62"/>
        <v>0</v>
      </c>
      <c r="F120" s="85"/>
      <c r="G120" s="42">
        <f>COUNTIF('Off-Ice Attendence'!$A$1:$J$34,J120)</f>
        <v>0</v>
      </c>
      <c r="H120" s="43">
        <f>COUNTIF('June 2026 Attendence'!A:CL,J120)</f>
        <v>0</v>
      </c>
      <c r="I120" s="42">
        <f t="shared" si="63"/>
        <v>0</v>
      </c>
      <c r="J120" s="99" t="s">
        <v>533</v>
      </c>
    </row>
    <row r="121" spans="1:10" ht="15">
      <c r="A121" s="52"/>
      <c r="B121" s="41"/>
      <c r="C121" s="42"/>
      <c r="D121" s="41"/>
      <c r="E121" s="43">
        <f t="shared" si="62"/>
        <v>0</v>
      </c>
      <c r="F121" s="85"/>
      <c r="G121" s="42">
        <f>COUNTIF('Off-Ice Attendence'!$A$1:$J$34,J121)</f>
        <v>0</v>
      </c>
      <c r="H121" s="43">
        <f>COUNTIF('June 2026 Attendence'!A:CL,J121)</f>
        <v>1</v>
      </c>
      <c r="I121" s="42">
        <f t="shared" si="63"/>
        <v>-1</v>
      </c>
      <c r="J121" s="99" t="s">
        <v>535</v>
      </c>
    </row>
    <row r="122" spans="1:10" ht="15">
      <c r="A122" s="52"/>
      <c r="B122" s="41"/>
      <c r="C122" s="42"/>
      <c r="D122" s="41"/>
      <c r="E122" s="43">
        <f t="shared" si="62"/>
        <v>0</v>
      </c>
      <c r="F122" s="85"/>
      <c r="G122" s="42">
        <f>COUNTIF('Off-Ice Attendence'!$A$1:$J$34,J122)</f>
        <v>0</v>
      </c>
      <c r="H122" s="43">
        <f>COUNTIF('June 2026 Attendence'!A:CL,J122)</f>
        <v>0</v>
      </c>
      <c r="I122" s="42">
        <f t="shared" si="63"/>
        <v>0</v>
      </c>
      <c r="J122" s="99" t="s">
        <v>536</v>
      </c>
    </row>
    <row r="123" spans="1:10" ht="15">
      <c r="A123" s="52"/>
      <c r="B123" s="41"/>
      <c r="C123" s="42"/>
      <c r="D123" s="41"/>
      <c r="E123" s="43">
        <f t="shared" ref="E123:E128" si="64">D123+C123</f>
        <v>0</v>
      </c>
      <c r="F123" s="85"/>
      <c r="G123" s="42">
        <f>COUNTIF('Off-Ice Attendence'!$A$1:$J$34,#REF!)</f>
        <v>0</v>
      </c>
      <c r="H123" s="43">
        <f>COUNTIF('June 2026 Attendence'!A:CL,J123)</f>
        <v>0</v>
      </c>
      <c r="I123" s="42">
        <f t="shared" ref="I123:I128" si="65">E123-H123-F123</f>
        <v>0</v>
      </c>
      <c r="J123" s="99" t="s">
        <v>511</v>
      </c>
    </row>
    <row r="124" spans="1:10" ht="15">
      <c r="A124" s="52"/>
      <c r="B124" s="41"/>
      <c r="C124" s="42"/>
      <c r="D124" s="41"/>
      <c r="E124" s="43">
        <f t="shared" si="64"/>
        <v>0</v>
      </c>
      <c r="F124" s="85"/>
      <c r="G124" s="42">
        <f>COUNTIF('Off-Ice Attendence'!$A$1:$J$34,J124)</f>
        <v>0</v>
      </c>
      <c r="H124" s="43">
        <f>COUNTIF('June 2026 Attendence'!A:CL,J124)</f>
        <v>1</v>
      </c>
      <c r="I124" s="42">
        <f t="shared" si="65"/>
        <v>-1</v>
      </c>
      <c r="J124" s="99" t="s">
        <v>555</v>
      </c>
    </row>
    <row r="125" spans="1:10" ht="15">
      <c r="A125" s="52"/>
      <c r="B125" s="41"/>
      <c r="C125" s="42"/>
      <c r="D125" s="41"/>
      <c r="E125" s="43">
        <f t="shared" si="64"/>
        <v>0</v>
      </c>
      <c r="F125" s="85"/>
      <c r="G125" s="42">
        <f>COUNTIF('Off-Ice Attendence'!$A$1:$J$34,J125)</f>
        <v>0</v>
      </c>
      <c r="H125" s="43">
        <f>COUNTIF('June 2026 Attendence'!A:CL,J125)</f>
        <v>4</v>
      </c>
      <c r="I125" s="42">
        <f t="shared" si="65"/>
        <v>-4</v>
      </c>
      <c r="J125" s="99" t="s">
        <v>580</v>
      </c>
    </row>
    <row r="126" spans="1:10" ht="15">
      <c r="A126" s="52"/>
      <c r="B126" s="41"/>
      <c r="C126" s="42"/>
      <c r="D126" s="41"/>
      <c r="E126" s="43">
        <f t="shared" si="64"/>
        <v>0</v>
      </c>
      <c r="F126" s="85"/>
      <c r="G126" s="42">
        <f>COUNTIF('Off-Ice Attendence'!$A$1:$J$34,J126)</f>
        <v>0</v>
      </c>
      <c r="H126" s="43">
        <f>COUNTIF('June 2026 Attendence'!A:CL,J126)</f>
        <v>3</v>
      </c>
      <c r="I126" s="42">
        <f t="shared" si="65"/>
        <v>-3</v>
      </c>
      <c r="J126" s="99" t="s">
        <v>594</v>
      </c>
    </row>
    <row r="127" spans="1:10" ht="15">
      <c r="A127" s="52"/>
      <c r="B127" s="41"/>
      <c r="C127" s="42"/>
      <c r="D127" s="41"/>
      <c r="E127" s="43">
        <f t="shared" si="64"/>
        <v>0</v>
      </c>
      <c r="F127" s="85"/>
      <c r="G127" s="42">
        <f>COUNTIF('Off-Ice Attendence'!$A$1:$J$34,J127)</f>
        <v>0</v>
      </c>
      <c r="H127" s="43">
        <f>COUNTIF('June 2026 Attendence'!A:CL,J127)</f>
        <v>8</v>
      </c>
      <c r="I127" s="42">
        <f t="shared" si="65"/>
        <v>-8</v>
      </c>
      <c r="J127" s="99" t="s">
        <v>626</v>
      </c>
    </row>
    <row r="128" spans="1:10" ht="15">
      <c r="A128" s="52"/>
      <c r="B128" s="41"/>
      <c r="C128" s="42"/>
      <c r="D128" s="41"/>
      <c r="E128" s="43">
        <f t="shared" si="64"/>
        <v>0</v>
      </c>
      <c r="F128" s="85"/>
      <c r="G128" s="42">
        <f>COUNTIF('Off-Ice Attendence'!$A$1:$J$34,J128)</f>
        <v>0</v>
      </c>
      <c r="H128" s="43">
        <f>COUNTIF('June 2026 Attendence'!A:CL,J128)</f>
        <v>2</v>
      </c>
      <c r="I128" s="42">
        <f t="shared" si="65"/>
        <v>-2</v>
      </c>
      <c r="J128" s="99" t="s">
        <v>627</v>
      </c>
    </row>
    <row r="129" spans="1:10" ht="15">
      <c r="A129" s="52"/>
      <c r="B129" s="41"/>
      <c r="C129" s="42"/>
      <c r="D129" s="41"/>
      <c r="E129" s="43">
        <f t="shared" ref="E129:E139" si="66">D129+C129</f>
        <v>0</v>
      </c>
      <c r="F129" s="85"/>
      <c r="G129" s="42">
        <f>COUNTIF('Off-Ice Attendence'!$A$1:$J$34,J129)</f>
        <v>0</v>
      </c>
      <c r="H129" s="43">
        <f>COUNTIF('June 2026 Attendence'!A:CL,J129)</f>
        <v>0</v>
      </c>
      <c r="I129" s="42">
        <f t="shared" ref="I129:I139" si="67">E129-H129-F129</f>
        <v>0</v>
      </c>
      <c r="J129" s="99" t="s">
        <v>631</v>
      </c>
    </row>
    <row r="130" spans="1:10" ht="15">
      <c r="A130" s="52"/>
      <c r="B130" s="41"/>
      <c r="C130" s="42"/>
      <c r="D130" s="41"/>
      <c r="E130" s="43">
        <f t="shared" si="66"/>
        <v>0</v>
      </c>
      <c r="F130" s="85"/>
      <c r="G130" s="42">
        <f>COUNTIF('Off-Ice Attendence'!$A$1:$J$34,J130)</f>
        <v>0</v>
      </c>
      <c r="H130" s="43">
        <f>COUNTIF('June 2026 Attendence'!A:CL,J130)</f>
        <v>0</v>
      </c>
      <c r="I130" s="42">
        <f t="shared" si="67"/>
        <v>0</v>
      </c>
      <c r="J130" s="99" t="s">
        <v>628</v>
      </c>
    </row>
    <row r="131" spans="1:10" ht="15">
      <c r="A131" s="52"/>
      <c r="B131" s="41"/>
      <c r="C131" s="42"/>
      <c r="D131" s="41"/>
      <c r="E131" s="43">
        <f t="shared" si="66"/>
        <v>0</v>
      </c>
      <c r="F131" s="85"/>
      <c r="G131" s="42">
        <f>COUNTIF('Off-Ice Attendence'!$A$1:$J$34,J131)</f>
        <v>0</v>
      </c>
      <c r="H131" s="43">
        <f>COUNTIF('June 2026 Attendence'!A:CL,J131)</f>
        <v>0</v>
      </c>
      <c r="I131" s="42">
        <f t="shared" si="67"/>
        <v>0</v>
      </c>
      <c r="J131" s="99" t="s">
        <v>629</v>
      </c>
    </row>
    <row r="132" spans="1:10" ht="15">
      <c r="A132" s="52"/>
      <c r="B132" s="41"/>
      <c r="C132" s="42"/>
      <c r="D132" s="41"/>
      <c r="E132" s="43">
        <f t="shared" si="66"/>
        <v>0</v>
      </c>
      <c r="F132" s="85"/>
      <c r="G132" s="42">
        <f>COUNTIF('Off-Ice Attendence'!$A$1:$J$34,J132)</f>
        <v>0</v>
      </c>
      <c r="H132" s="43">
        <f>COUNTIF('June 2026 Attendence'!A:CL,J132)</f>
        <v>0</v>
      </c>
      <c r="I132" s="42">
        <f t="shared" si="67"/>
        <v>0</v>
      </c>
      <c r="J132" s="99" t="s">
        <v>612</v>
      </c>
    </row>
    <row r="133" spans="1:10" ht="15">
      <c r="A133" s="52"/>
      <c r="B133" s="41"/>
      <c r="C133" s="42"/>
      <c r="D133" s="41"/>
      <c r="E133" s="43">
        <f t="shared" si="66"/>
        <v>0</v>
      </c>
      <c r="F133" s="85"/>
      <c r="G133" s="42">
        <f>COUNTIF('Off-Ice Attendence'!$A$1:$J$34,J133)</f>
        <v>0</v>
      </c>
      <c r="H133" s="43">
        <f>COUNTIF('June 2026 Attendence'!A:CL,J133)</f>
        <v>0</v>
      </c>
      <c r="I133" s="42">
        <f t="shared" si="67"/>
        <v>0</v>
      </c>
      <c r="J133" s="99" t="s">
        <v>614</v>
      </c>
    </row>
    <row r="134" spans="1:10" ht="15">
      <c r="A134" s="52"/>
      <c r="B134" s="41"/>
      <c r="C134" s="42"/>
      <c r="D134" s="41"/>
      <c r="E134" s="43">
        <f t="shared" si="66"/>
        <v>0</v>
      </c>
      <c r="F134" s="85"/>
      <c r="G134" s="42">
        <f>COUNTIF('Off-Ice Attendence'!$A$1:$J$34,J134)</f>
        <v>0</v>
      </c>
      <c r="H134" s="43">
        <f>COUNTIF('June 2026 Attendence'!A:CL,J134)</f>
        <v>0</v>
      </c>
      <c r="I134" s="42">
        <f t="shared" si="67"/>
        <v>0</v>
      </c>
      <c r="J134" s="99" t="s">
        <v>637</v>
      </c>
    </row>
    <row r="135" spans="1:10" ht="15">
      <c r="A135" s="52"/>
      <c r="B135" s="41"/>
      <c r="C135" s="42"/>
      <c r="D135" s="41"/>
      <c r="E135" s="43">
        <f t="shared" si="66"/>
        <v>0</v>
      </c>
      <c r="F135" s="85"/>
      <c r="G135" s="42">
        <f>COUNTIF('Off-Ice Attendence'!$A$1:$J$34,J135)</f>
        <v>0</v>
      </c>
      <c r="H135" s="43">
        <f>COUNTIF('June 2026 Attendence'!A:CL,J135)</f>
        <v>0</v>
      </c>
      <c r="I135" s="42">
        <f t="shared" si="67"/>
        <v>0</v>
      </c>
      <c r="J135" s="99" t="s">
        <v>632</v>
      </c>
    </row>
    <row r="136" spans="1:10" ht="15">
      <c r="A136" s="52"/>
      <c r="B136" s="41"/>
      <c r="C136" s="42"/>
      <c r="D136" s="41"/>
      <c r="E136" s="43">
        <f t="shared" si="66"/>
        <v>0</v>
      </c>
      <c r="F136" s="85"/>
      <c r="G136" s="42">
        <f>COUNTIF('Off-Ice Attendence'!$A$1:$J$34,J136)</f>
        <v>0</v>
      </c>
      <c r="H136" s="43">
        <f>COUNTIF('June 2026 Attendence'!A:CL,J136)</f>
        <v>0</v>
      </c>
      <c r="I136" s="42">
        <f t="shared" si="67"/>
        <v>0</v>
      </c>
      <c r="J136" s="99" t="s">
        <v>633</v>
      </c>
    </row>
    <row r="137" spans="1:10" ht="15">
      <c r="A137" s="52"/>
      <c r="B137" s="41"/>
      <c r="C137" s="42"/>
      <c r="D137" s="41"/>
      <c r="E137" s="43">
        <f t="shared" si="66"/>
        <v>0</v>
      </c>
      <c r="F137" s="85"/>
      <c r="G137" s="42">
        <f>COUNTIF('Off-Ice Attendence'!$A$1:$J$34,J137)</f>
        <v>0</v>
      </c>
      <c r="H137" s="43">
        <f>COUNTIF('June 2026 Attendence'!A:CL,J137)</f>
        <v>0</v>
      </c>
      <c r="I137" s="42">
        <f t="shared" si="67"/>
        <v>0</v>
      </c>
      <c r="J137" s="99" t="s">
        <v>639</v>
      </c>
    </row>
    <row r="138" spans="1:10" ht="15">
      <c r="A138" s="52"/>
      <c r="B138" s="41"/>
      <c r="C138" s="42"/>
      <c r="D138" s="41"/>
      <c r="E138" s="43">
        <f t="shared" si="66"/>
        <v>0</v>
      </c>
      <c r="F138" s="85"/>
      <c r="G138" s="42">
        <f>COUNTIF('Off-Ice Attendence'!$A$1:$J$34,J138)</f>
        <v>0</v>
      </c>
      <c r="H138" s="43">
        <f>COUNTIF('June 2026 Attendence'!A:CL,J138)</f>
        <v>1</v>
      </c>
      <c r="I138" s="42">
        <f t="shared" si="67"/>
        <v>-1</v>
      </c>
      <c r="J138" s="99" t="s">
        <v>640</v>
      </c>
    </row>
    <row r="139" spans="1:10" ht="15">
      <c r="A139" s="52"/>
      <c r="B139" s="41"/>
      <c r="C139" s="42"/>
      <c r="D139" s="41"/>
      <c r="E139" s="43">
        <f t="shared" si="66"/>
        <v>0</v>
      </c>
      <c r="F139" s="85"/>
      <c r="G139" s="42">
        <f>COUNTIF('Off-Ice Attendence'!$A$1:$J$34,J139)</f>
        <v>0</v>
      </c>
      <c r="H139" s="43">
        <f>COUNTIF('June 2026 Attendence'!A:CL,J139)</f>
        <v>0</v>
      </c>
      <c r="I139" s="42">
        <f t="shared" si="67"/>
        <v>0</v>
      </c>
      <c r="J139" s="99" t="s">
        <v>642</v>
      </c>
    </row>
    <row r="140" spans="1:10" ht="15">
      <c r="A140" s="52"/>
      <c r="B140" s="41"/>
      <c r="C140" s="42"/>
      <c r="D140" s="41"/>
      <c r="E140" s="43">
        <f t="shared" ref="E140" si="68">D140+C140</f>
        <v>0</v>
      </c>
      <c r="F140" s="85"/>
      <c r="G140" s="42">
        <f>COUNTIF('Off-Ice Attendence'!$A$1:$J$34,J140)</f>
        <v>0</v>
      </c>
      <c r="H140" s="43">
        <f>COUNTIF('June 2026 Attendence'!A:CL,J140)</f>
        <v>3</v>
      </c>
      <c r="I140" s="42">
        <f t="shared" ref="I140" si="69">E140-H140-F140</f>
        <v>-3</v>
      </c>
      <c r="J140" s="99" t="s">
        <v>651</v>
      </c>
    </row>
    <row r="141" spans="1:10" ht="15">
      <c r="A141" s="52"/>
      <c r="B141" s="41"/>
      <c r="C141" s="42"/>
      <c r="D141" s="41"/>
      <c r="E141" s="43">
        <f t="shared" ref="E141:E149" si="70">D141+C141</f>
        <v>0</v>
      </c>
      <c r="F141" s="85"/>
      <c r="G141" s="42">
        <f>COUNTIF('Off-Ice Attendence'!$A$1:$J$34,J141)</f>
        <v>0</v>
      </c>
      <c r="H141" s="43">
        <f>COUNTIF('June 2026 Attendence'!A:CL,J141)</f>
        <v>0</v>
      </c>
      <c r="I141" s="42">
        <f t="shared" ref="I141:I149" si="71">E141-H141-F141</f>
        <v>0</v>
      </c>
      <c r="J141" s="99" t="s">
        <v>645</v>
      </c>
    </row>
    <row r="142" spans="1:10" ht="15">
      <c r="A142" s="52"/>
      <c r="B142" s="41"/>
      <c r="C142" s="42"/>
      <c r="D142" s="41"/>
      <c r="E142" s="43">
        <f t="shared" si="70"/>
        <v>0</v>
      </c>
      <c r="F142" s="85"/>
      <c r="G142" s="42">
        <f>COUNTIF('Off-Ice Attendence'!$A$1:$J$34,J142)</f>
        <v>0</v>
      </c>
      <c r="H142" s="43">
        <f>COUNTIF('June 2026 Attendence'!A:CL,J142)</f>
        <v>0</v>
      </c>
      <c r="I142" s="42">
        <f t="shared" si="71"/>
        <v>0</v>
      </c>
      <c r="J142" s="99" t="s">
        <v>649</v>
      </c>
    </row>
    <row r="143" spans="1:10" ht="15">
      <c r="A143" s="52"/>
      <c r="B143" s="41"/>
      <c r="C143" s="42"/>
      <c r="D143" s="41"/>
      <c r="E143" s="43">
        <f t="shared" si="70"/>
        <v>0</v>
      </c>
      <c r="F143" s="85"/>
      <c r="G143" s="42">
        <f>COUNTIF('Off-Ice Attendence'!$A$1:$J$34,J143)</f>
        <v>0</v>
      </c>
      <c r="H143" s="43">
        <f>COUNTIF('June 2026 Attendence'!A:CL,J143)</f>
        <v>0</v>
      </c>
      <c r="I143" s="42">
        <f t="shared" si="71"/>
        <v>0</v>
      </c>
      <c r="J143" s="99" t="s">
        <v>652</v>
      </c>
    </row>
    <row r="144" spans="1:10" ht="15">
      <c r="A144" s="52"/>
      <c r="B144" s="41"/>
      <c r="C144" s="42"/>
      <c r="D144" s="41"/>
      <c r="E144" s="43">
        <f t="shared" si="70"/>
        <v>0</v>
      </c>
      <c r="F144" s="85"/>
      <c r="G144" s="42">
        <f>COUNTIF('Off-Ice Attendence'!$A$1:$J$34,J144)</f>
        <v>0</v>
      </c>
      <c r="H144" s="43">
        <f>COUNTIF('June 2026 Attendence'!A:CL,J144)</f>
        <v>2</v>
      </c>
      <c r="I144" s="42">
        <f t="shared" si="71"/>
        <v>-2</v>
      </c>
      <c r="J144" s="99" t="s">
        <v>655</v>
      </c>
    </row>
    <row r="145" spans="1:10" ht="15">
      <c r="A145" s="52"/>
      <c r="B145" s="41"/>
      <c r="C145" s="42"/>
      <c r="D145" s="41"/>
      <c r="E145" s="43">
        <f t="shared" si="70"/>
        <v>0</v>
      </c>
      <c r="F145" s="85"/>
      <c r="G145" s="42">
        <f>COUNTIF('Off-Ice Attendence'!$A$1:$J$34,J145)</f>
        <v>0</v>
      </c>
      <c r="H145" s="43">
        <f>COUNTIF('June 2026 Attendence'!A:CL,J145)</f>
        <v>0</v>
      </c>
      <c r="I145" s="42">
        <f t="shared" si="71"/>
        <v>0</v>
      </c>
      <c r="J145" s="99" t="s">
        <v>659</v>
      </c>
    </row>
    <row r="146" spans="1:10" ht="15">
      <c r="A146" s="52"/>
      <c r="B146" s="41"/>
      <c r="C146" s="42"/>
      <c r="D146" s="41"/>
      <c r="E146" s="43">
        <f t="shared" si="70"/>
        <v>0</v>
      </c>
      <c r="F146" s="85"/>
      <c r="G146" s="42">
        <f>COUNTIF('Off-Ice Attendence'!$A$1:$J$34,J146)</f>
        <v>0</v>
      </c>
      <c r="H146" s="43">
        <f>COUNTIF('June 2026 Attendence'!A:CL,J146)</f>
        <v>2</v>
      </c>
      <c r="I146" s="42">
        <f t="shared" si="71"/>
        <v>-2</v>
      </c>
      <c r="J146" s="99" t="s">
        <v>711</v>
      </c>
    </row>
    <row r="147" spans="1:10" ht="15">
      <c r="A147" s="52"/>
      <c r="B147" s="41"/>
      <c r="C147" s="42"/>
      <c r="D147" s="41"/>
      <c r="E147" s="43">
        <f t="shared" si="70"/>
        <v>0</v>
      </c>
      <c r="F147" s="85"/>
      <c r="G147" s="42">
        <f>COUNTIF('Off-Ice Attendence'!$A$1:$J$34,J147)</f>
        <v>0</v>
      </c>
      <c r="H147" s="43">
        <f>COUNTIF('June 2026 Attendence'!A:CL,J147)</f>
        <v>4</v>
      </c>
      <c r="I147" s="42">
        <f t="shared" si="71"/>
        <v>-4</v>
      </c>
      <c r="J147" s="99" t="s">
        <v>661</v>
      </c>
    </row>
    <row r="148" spans="1:10" ht="15">
      <c r="A148" s="52"/>
      <c r="B148" s="41"/>
      <c r="C148" s="42"/>
      <c r="D148" s="41"/>
      <c r="E148" s="43">
        <f t="shared" si="70"/>
        <v>0</v>
      </c>
      <c r="F148" s="85"/>
      <c r="G148" s="42">
        <f>COUNTIF('Off-Ice Attendence'!$A$1:$J$34,J148)</f>
        <v>0</v>
      </c>
      <c r="H148" s="43">
        <f>COUNTIF('June 2026 Attendence'!A:CL,J148)</f>
        <v>1</v>
      </c>
      <c r="I148" s="42">
        <f t="shared" si="71"/>
        <v>-1</v>
      </c>
      <c r="J148" s="99" t="s">
        <v>663</v>
      </c>
    </row>
    <row r="149" spans="1:10" ht="15">
      <c r="A149" s="52"/>
      <c r="B149" s="41"/>
      <c r="C149" s="42"/>
      <c r="D149" s="41"/>
      <c r="E149" s="43">
        <f t="shared" si="70"/>
        <v>0</v>
      </c>
      <c r="F149" s="85"/>
      <c r="G149" s="42">
        <f>COUNTIF('Off-Ice Attendence'!$A$1:$J$34,J149)</f>
        <v>0</v>
      </c>
      <c r="H149" s="43">
        <f>COUNTIF('June 2026 Attendence'!A:CL,J149)</f>
        <v>0</v>
      </c>
      <c r="I149" s="42">
        <f t="shared" si="71"/>
        <v>0</v>
      </c>
      <c r="J149" s="99" t="s">
        <v>664</v>
      </c>
    </row>
    <row r="150" spans="1:10" ht="15">
      <c r="A150" s="52"/>
      <c r="B150" s="41"/>
      <c r="C150" s="42"/>
      <c r="D150" s="41"/>
      <c r="E150" s="43">
        <f t="shared" ref="E150:E155" si="72">D150+C150</f>
        <v>0</v>
      </c>
      <c r="F150" s="85"/>
      <c r="G150" s="42">
        <f>COUNTIF('Off-Ice Attendence'!$A$1:$J$34,J150)</f>
        <v>0</v>
      </c>
      <c r="H150" s="43">
        <f>COUNTIF('June 2026 Attendence'!A:CL,J150)</f>
        <v>0</v>
      </c>
      <c r="I150" s="42">
        <f t="shared" ref="I150:I155" si="73">E150-H150-F150</f>
        <v>0</v>
      </c>
      <c r="J150" s="99" t="s">
        <v>665</v>
      </c>
    </row>
    <row r="151" spans="1:10" ht="15">
      <c r="A151" s="52"/>
      <c r="B151" s="41"/>
      <c r="C151" s="42"/>
      <c r="D151" s="41"/>
      <c r="E151" s="43">
        <f t="shared" ref="E151:E153" si="74">D151+C151</f>
        <v>0</v>
      </c>
      <c r="F151" s="85"/>
      <c r="G151" s="42">
        <f>COUNTIF('Off-Ice Attendence'!$A$1:$J$34,J151)</f>
        <v>0</v>
      </c>
      <c r="H151" s="43">
        <f>COUNTIF('June 2026 Attendence'!A:CL,J151)</f>
        <v>1</v>
      </c>
      <c r="I151" s="42">
        <f t="shared" ref="I151:I153" si="75">E151-H151-F151</f>
        <v>-1</v>
      </c>
      <c r="J151" s="99" t="s">
        <v>712</v>
      </c>
    </row>
    <row r="152" spans="1:10" ht="15">
      <c r="A152" s="52"/>
      <c r="B152" s="41"/>
      <c r="C152" s="42"/>
      <c r="D152" s="41"/>
      <c r="E152" s="43">
        <f t="shared" si="74"/>
        <v>0</v>
      </c>
      <c r="F152" s="85"/>
      <c r="G152" s="42">
        <f>COUNTIF('Off-Ice Attendence'!$A$1:$J$34,J152)</f>
        <v>0</v>
      </c>
      <c r="H152" s="43">
        <f>COUNTIF('June 2026 Attendence'!A:CL,J152)</f>
        <v>1</v>
      </c>
      <c r="I152" s="42">
        <f t="shared" si="75"/>
        <v>-1</v>
      </c>
      <c r="J152" s="99" t="s">
        <v>713</v>
      </c>
    </row>
    <row r="153" spans="1:10" ht="15">
      <c r="A153" s="52"/>
      <c r="B153" s="41"/>
      <c r="C153" s="42"/>
      <c r="D153" s="41"/>
      <c r="E153" s="43">
        <f t="shared" si="74"/>
        <v>0</v>
      </c>
      <c r="F153" s="85"/>
      <c r="G153" s="42">
        <f>COUNTIF('Off-Ice Attendence'!$A$1:$J$34,J153)</f>
        <v>0</v>
      </c>
      <c r="H153" s="43">
        <f>COUNTIF('June 2026 Attendence'!A:CL,J153)</f>
        <v>2</v>
      </c>
      <c r="I153" s="42">
        <f t="shared" si="75"/>
        <v>-2</v>
      </c>
      <c r="J153" s="99" t="s">
        <v>716</v>
      </c>
    </row>
    <row r="154" spans="1:10" ht="15">
      <c r="A154" s="52"/>
      <c r="B154" s="41"/>
      <c r="C154" s="42"/>
      <c r="D154" s="41"/>
      <c r="E154" s="43">
        <f t="shared" si="72"/>
        <v>0</v>
      </c>
      <c r="F154" s="85"/>
      <c r="G154" s="42">
        <f>COUNTIF('Off-Ice Attendence'!$A$1:$J$34,J154)</f>
        <v>0</v>
      </c>
      <c r="H154" s="43">
        <f>COUNTIF('June 2026 Attendence'!A:CL,J154)</f>
        <v>1</v>
      </c>
      <c r="I154" s="42">
        <f t="shared" si="73"/>
        <v>-1</v>
      </c>
      <c r="J154" s="99" t="s">
        <v>666</v>
      </c>
    </row>
    <row r="155" spans="1:10" ht="15">
      <c r="A155" s="52"/>
      <c r="B155" s="41"/>
      <c r="C155" s="42"/>
      <c r="D155" s="41"/>
      <c r="E155" s="43">
        <f t="shared" si="72"/>
        <v>0</v>
      </c>
      <c r="F155" s="85"/>
      <c r="G155" s="42">
        <f>COUNTIF('Off-Ice Attendence'!$A$1:$J$34,J155)</f>
        <v>0</v>
      </c>
      <c r="H155" s="43">
        <f>COUNTIF('June 2026 Attendence'!A:CL,J155)</f>
        <v>1</v>
      </c>
      <c r="I155" s="42">
        <f t="shared" si="73"/>
        <v>-1</v>
      </c>
      <c r="J155" s="99" t="s">
        <v>745</v>
      </c>
    </row>
    <row r="156" spans="1:10" ht="15">
      <c r="A156" s="52"/>
      <c r="B156" s="41"/>
      <c r="C156" s="42"/>
      <c r="D156" s="41"/>
      <c r="E156" s="43">
        <f t="shared" ref="E156:E162" si="76">D156+C156</f>
        <v>0</v>
      </c>
      <c r="F156" s="85"/>
      <c r="G156" s="42">
        <f>COUNTIF('Off-Ice Attendence'!$A$1:$J$34,J156)</f>
        <v>0</v>
      </c>
      <c r="H156" s="43">
        <f>COUNTIF('June 2026 Attendence'!A:CL,J156)</f>
        <v>1</v>
      </c>
      <c r="I156" s="42">
        <f t="shared" ref="I156:I162" si="77">E156-H156-F156</f>
        <v>-1</v>
      </c>
      <c r="J156" s="99" t="s">
        <v>730</v>
      </c>
    </row>
    <row r="157" spans="1:10" ht="15">
      <c r="A157" s="52"/>
      <c r="B157" s="41"/>
      <c r="C157" s="42"/>
      <c r="D157" s="41"/>
      <c r="E157" s="43">
        <f t="shared" si="76"/>
        <v>0</v>
      </c>
      <c r="F157" s="85"/>
      <c r="G157" s="42">
        <f>COUNTIF('Off-Ice Attendence'!$A$1:$J$34,J157)</f>
        <v>0</v>
      </c>
      <c r="H157" s="43">
        <f>COUNTIF('June 2026 Attendence'!A:CL,J157)</f>
        <v>1</v>
      </c>
      <c r="I157" s="42">
        <f t="shared" si="77"/>
        <v>-1</v>
      </c>
      <c r="J157" s="99" t="s">
        <v>746</v>
      </c>
    </row>
    <row r="158" spans="1:10" ht="15">
      <c r="A158" s="52"/>
      <c r="B158" s="41"/>
      <c r="C158" s="42"/>
      <c r="D158" s="41"/>
      <c r="E158" s="43">
        <f t="shared" si="76"/>
        <v>0</v>
      </c>
      <c r="F158" s="85"/>
      <c r="G158" s="42">
        <f>COUNTIF('Off-Ice Attendence'!$A$1:$J$34,J158)</f>
        <v>0</v>
      </c>
      <c r="H158" s="43">
        <f>COUNTIF('June 2026 Attendence'!A:CL,J158)</f>
        <v>1</v>
      </c>
      <c r="I158" s="42">
        <f t="shared" si="77"/>
        <v>-1</v>
      </c>
      <c r="J158" s="99" t="s">
        <v>747</v>
      </c>
    </row>
    <row r="159" spans="1:10" ht="15">
      <c r="A159" s="52"/>
      <c r="B159" s="41"/>
      <c r="C159" s="42"/>
      <c r="D159" s="41"/>
      <c r="E159" s="43">
        <f t="shared" si="76"/>
        <v>0</v>
      </c>
      <c r="F159" s="85"/>
      <c r="G159" s="42">
        <f>COUNTIF('Off-Ice Attendence'!$A$1:$J$34,J159)</f>
        <v>0</v>
      </c>
      <c r="H159" s="43">
        <f>COUNTIF('June 2026 Attendence'!A:CL,J159)</f>
        <v>1</v>
      </c>
      <c r="I159" s="42">
        <f t="shared" si="77"/>
        <v>-1</v>
      </c>
      <c r="J159" s="99" t="s">
        <v>748</v>
      </c>
    </row>
    <row r="160" spans="1:10" ht="15">
      <c r="A160" s="52"/>
      <c r="B160" s="41"/>
      <c r="C160" s="42"/>
      <c r="D160" s="41"/>
      <c r="E160" s="43">
        <f t="shared" si="76"/>
        <v>0</v>
      </c>
      <c r="F160" s="85"/>
      <c r="G160" s="42">
        <f>COUNTIF('Off-Ice Attendence'!$A$1:$J$34,J160)</f>
        <v>0</v>
      </c>
      <c r="H160" s="43">
        <f>COUNTIF('June 2026 Attendence'!A:CL,J160)</f>
        <v>1</v>
      </c>
      <c r="I160" s="42">
        <f t="shared" si="77"/>
        <v>-1</v>
      </c>
      <c r="J160" s="99" t="s">
        <v>751</v>
      </c>
    </row>
    <row r="161" spans="1:10" ht="15">
      <c r="A161" s="52"/>
      <c r="B161" s="41"/>
      <c r="C161" s="42"/>
      <c r="D161" s="41"/>
      <c r="E161" s="43">
        <f t="shared" si="76"/>
        <v>0</v>
      </c>
      <c r="F161" s="85"/>
      <c r="G161" s="42">
        <f>COUNTIF('Off-Ice Attendence'!$A$1:$J$34,J161)</f>
        <v>0</v>
      </c>
      <c r="H161" s="43">
        <f>COUNTIF('June 2026 Attendence'!A:CL,J161)</f>
        <v>1</v>
      </c>
      <c r="I161" s="42">
        <f t="shared" si="77"/>
        <v>-1</v>
      </c>
      <c r="J161" s="99" t="s">
        <v>752</v>
      </c>
    </row>
    <row r="162" spans="1:10" ht="15">
      <c r="A162" s="52"/>
      <c r="B162" s="41"/>
      <c r="C162" s="42"/>
      <c r="D162" s="41"/>
      <c r="E162" s="43">
        <f t="shared" si="76"/>
        <v>0</v>
      </c>
      <c r="F162" s="85"/>
      <c r="G162" s="42">
        <f>COUNTIF('Off-Ice Attendence'!$A$1:$J$34,J162)</f>
        <v>0</v>
      </c>
      <c r="H162" s="43">
        <f>COUNTIF('June 2026 Attendence'!A:CL,J162)</f>
        <v>0</v>
      </c>
      <c r="I162" s="42">
        <f t="shared" si="77"/>
        <v>0</v>
      </c>
      <c r="J162" s="99"/>
    </row>
    <row r="163" spans="1:10" ht="12.75">
      <c r="A163" s="63"/>
      <c r="D163" s="28"/>
    </row>
    <row r="164" spans="1:10" ht="12.75">
      <c r="A164" s="63"/>
      <c r="D164" s="28"/>
    </row>
    <row r="165" spans="1:10" ht="12.75">
      <c r="A165" s="63"/>
      <c r="D165" s="28"/>
    </row>
    <row r="166" spans="1:10" ht="12.75">
      <c r="A166" s="63"/>
      <c r="D166" s="28"/>
    </row>
    <row r="167" spans="1:10" ht="12.75">
      <c r="A167" s="63"/>
      <c r="D167" s="28"/>
    </row>
    <row r="168" spans="1:10" ht="12.75">
      <c r="A168" s="63"/>
      <c r="D168" s="28"/>
    </row>
    <row r="169" spans="1:10" ht="12.75">
      <c r="A169" s="63"/>
      <c r="D169" s="28"/>
    </row>
    <row r="170" spans="1:10" ht="12.75">
      <c r="A170" s="63"/>
      <c r="D170" s="28"/>
    </row>
    <row r="171" spans="1:10" ht="12.75">
      <c r="A171" s="63"/>
      <c r="D171" s="28"/>
    </row>
    <row r="172" spans="1:10" ht="12.75">
      <c r="A172" s="63"/>
      <c r="D172" s="28"/>
    </row>
    <row r="173" spans="1:10" ht="12.75">
      <c r="A173" s="63"/>
      <c r="D173" s="28"/>
    </row>
    <row r="174" spans="1:10" ht="12.75">
      <c r="A174" s="63"/>
      <c r="D174" s="28"/>
    </row>
    <row r="175" spans="1:10" ht="12.75">
      <c r="A175" s="63"/>
      <c r="D175" s="28"/>
    </row>
    <row r="176" spans="1:10" ht="12.75">
      <c r="A176" s="63"/>
      <c r="D176" s="28"/>
    </row>
    <row r="177" spans="1:4" ht="12.75">
      <c r="A177" s="63"/>
      <c r="D177" s="28"/>
    </row>
    <row r="178" spans="1:4" ht="12.75">
      <c r="A178" s="63"/>
      <c r="D178" s="28"/>
    </row>
    <row r="179" spans="1:4" ht="12.75">
      <c r="A179" s="63"/>
      <c r="D179" s="28"/>
    </row>
    <row r="180" spans="1:4" ht="12.75">
      <c r="A180" s="63"/>
      <c r="D180" s="28"/>
    </row>
    <row r="181" spans="1:4" ht="12.75">
      <c r="A181" s="63"/>
      <c r="D181" s="28"/>
    </row>
    <row r="182" spans="1:4" ht="12.75">
      <c r="A182" s="63"/>
      <c r="D182" s="28"/>
    </row>
    <row r="183" spans="1:4" ht="12.75">
      <c r="A183" s="63"/>
      <c r="D183" s="28"/>
    </row>
    <row r="184" spans="1:4" ht="12.75">
      <c r="A184" s="63"/>
      <c r="D184" s="28"/>
    </row>
    <row r="185" spans="1:4" ht="12.75">
      <c r="A185" s="63"/>
      <c r="D185" s="28"/>
    </row>
    <row r="186" spans="1:4" ht="12.75">
      <c r="A186" s="63"/>
      <c r="D186" s="28"/>
    </row>
    <row r="187" spans="1:4" ht="12.75">
      <c r="A187" s="63"/>
      <c r="D187" s="28"/>
    </row>
    <row r="188" spans="1:4" ht="12.75">
      <c r="A188" s="63"/>
      <c r="D188" s="28"/>
    </row>
    <row r="189" spans="1:4" ht="12.75">
      <c r="A189" s="63"/>
      <c r="D189" s="28"/>
    </row>
    <row r="190" spans="1:4" ht="12.75">
      <c r="A190" s="63"/>
      <c r="D190" s="28"/>
    </row>
    <row r="191" spans="1:4" ht="12.75">
      <c r="A191" s="63"/>
      <c r="D191" s="28"/>
    </row>
    <row r="192" spans="1:4" ht="12.75">
      <c r="A192" s="63"/>
      <c r="D192" s="28"/>
    </row>
    <row r="193" spans="1:4" ht="12.75">
      <c r="A193" s="63"/>
      <c r="D193" s="28"/>
    </row>
    <row r="194" spans="1:4" ht="12.75">
      <c r="A194" s="63"/>
      <c r="D194" s="28"/>
    </row>
    <row r="195" spans="1:4" ht="12.75">
      <c r="A195" s="63"/>
      <c r="D195" s="28"/>
    </row>
    <row r="196" spans="1:4" ht="12.75">
      <c r="A196" s="63"/>
      <c r="D196" s="28"/>
    </row>
    <row r="197" spans="1:4" ht="12.75">
      <c r="A197" s="63"/>
      <c r="D197" s="28"/>
    </row>
    <row r="198" spans="1:4" ht="12.75">
      <c r="A198" s="63"/>
      <c r="D198" s="28"/>
    </row>
    <row r="199" spans="1:4" ht="12.75">
      <c r="A199" s="63"/>
      <c r="D199" s="28"/>
    </row>
    <row r="200" spans="1:4" ht="12.75">
      <c r="A200" s="63"/>
      <c r="D200" s="28"/>
    </row>
    <row r="201" spans="1:4" ht="12.75">
      <c r="A201" s="63"/>
      <c r="D201" s="28"/>
    </row>
    <row r="202" spans="1:4" ht="12.75">
      <c r="A202" s="63"/>
      <c r="D202" s="28"/>
    </row>
    <row r="203" spans="1:4" ht="12.75">
      <c r="A203" s="63"/>
      <c r="D203" s="28"/>
    </row>
    <row r="204" spans="1:4" ht="12.75">
      <c r="A204" s="63"/>
      <c r="D204" s="28"/>
    </row>
    <row r="205" spans="1:4" ht="12.75">
      <c r="A205" s="63"/>
      <c r="D205" s="28"/>
    </row>
    <row r="206" spans="1:4" ht="12.75">
      <c r="A206" s="63"/>
      <c r="D206" s="28"/>
    </row>
    <row r="207" spans="1:4" ht="12.75">
      <c r="A207" s="63"/>
      <c r="D207" s="28"/>
    </row>
    <row r="208" spans="1:4" ht="12.75">
      <c r="A208" s="63"/>
      <c r="D208" s="28"/>
    </row>
    <row r="209" spans="1:4" ht="12.75">
      <c r="A209" s="63"/>
      <c r="D209" s="28"/>
    </row>
    <row r="210" spans="1:4" ht="12.75">
      <c r="A210" s="63"/>
      <c r="D210" s="28"/>
    </row>
    <row r="211" spans="1:4" ht="12.75">
      <c r="A211" s="63"/>
      <c r="D211" s="28"/>
    </row>
    <row r="212" spans="1:4" ht="12.75">
      <c r="A212" s="63"/>
      <c r="D212" s="28"/>
    </row>
    <row r="213" spans="1:4" ht="12.75">
      <c r="A213" s="63"/>
      <c r="D213" s="28"/>
    </row>
    <row r="214" spans="1:4" ht="12.75">
      <c r="A214" s="63"/>
      <c r="D214" s="28"/>
    </row>
    <row r="215" spans="1:4" ht="12.75">
      <c r="A215" s="63"/>
      <c r="D215" s="28"/>
    </row>
    <row r="216" spans="1:4" ht="12.75">
      <c r="A216" s="63"/>
      <c r="D216" s="28"/>
    </row>
    <row r="217" spans="1:4" ht="12.75">
      <c r="A217" s="63"/>
      <c r="D217" s="28"/>
    </row>
    <row r="218" spans="1:4" ht="12.75">
      <c r="A218" s="63"/>
      <c r="D218" s="28"/>
    </row>
    <row r="219" spans="1:4" ht="12.75">
      <c r="A219" s="63"/>
      <c r="D219" s="28"/>
    </row>
    <row r="220" spans="1:4" ht="12.75">
      <c r="A220" s="63"/>
      <c r="D220" s="28"/>
    </row>
    <row r="221" spans="1:4" ht="12.75">
      <c r="A221" s="63"/>
      <c r="D221" s="28"/>
    </row>
    <row r="222" spans="1:4" ht="12.75">
      <c r="A222" s="63"/>
      <c r="D222" s="28"/>
    </row>
    <row r="223" spans="1:4" ht="12.75">
      <c r="A223" s="63"/>
      <c r="D223" s="28"/>
    </row>
    <row r="224" spans="1:4" ht="12.75">
      <c r="A224" s="63"/>
      <c r="D224" s="28"/>
    </row>
    <row r="225" spans="1:4" ht="12.75">
      <c r="A225" s="63"/>
      <c r="D225" s="28"/>
    </row>
    <row r="226" spans="1:4" ht="12.75">
      <c r="A226" s="63"/>
      <c r="D226" s="28"/>
    </row>
    <row r="227" spans="1:4" ht="12.75">
      <c r="A227" s="63"/>
      <c r="D227" s="28"/>
    </row>
    <row r="228" spans="1:4" ht="12.75">
      <c r="A228" s="63"/>
      <c r="D228" s="28"/>
    </row>
    <row r="229" spans="1:4" ht="12.75">
      <c r="A229" s="63"/>
      <c r="D229" s="28"/>
    </row>
    <row r="230" spans="1:4" ht="12.75">
      <c r="A230" s="63"/>
      <c r="D230" s="28"/>
    </row>
    <row r="231" spans="1:4" ht="12.75">
      <c r="A231" s="63"/>
      <c r="D231" s="28"/>
    </row>
    <row r="232" spans="1:4" ht="12.75">
      <c r="A232" s="63"/>
      <c r="D232" s="28"/>
    </row>
    <row r="233" spans="1:4" ht="12.75">
      <c r="A233" s="63"/>
      <c r="D233" s="28"/>
    </row>
    <row r="234" spans="1:4" ht="12.75">
      <c r="A234" s="63"/>
      <c r="D234" s="28"/>
    </row>
    <row r="235" spans="1:4" ht="12.75">
      <c r="A235" s="63"/>
      <c r="D235" s="28"/>
    </row>
    <row r="236" spans="1:4" ht="12.75">
      <c r="A236" s="63"/>
      <c r="D236" s="28"/>
    </row>
    <row r="237" spans="1:4" ht="12.75">
      <c r="A237" s="63"/>
      <c r="D237" s="28"/>
    </row>
    <row r="238" spans="1:4" ht="12.75">
      <c r="A238" s="63"/>
      <c r="D238" s="28"/>
    </row>
    <row r="239" spans="1:4" ht="12.75">
      <c r="A239" s="63"/>
      <c r="D239" s="28"/>
    </row>
    <row r="240" spans="1:4" ht="12.75">
      <c r="A240" s="63"/>
      <c r="D240" s="28"/>
    </row>
    <row r="241" spans="1:4" ht="12.75">
      <c r="A241" s="63"/>
      <c r="D241" s="28"/>
    </row>
    <row r="242" spans="1:4" ht="12.75">
      <c r="A242" s="63"/>
      <c r="D242" s="28"/>
    </row>
    <row r="243" spans="1:4" ht="12.75">
      <c r="A243" s="63"/>
      <c r="D243" s="28"/>
    </row>
    <row r="244" spans="1:4" ht="12.75">
      <c r="A244" s="63"/>
      <c r="D244" s="28"/>
    </row>
    <row r="245" spans="1:4" ht="12.75">
      <c r="A245" s="63"/>
      <c r="D245" s="28"/>
    </row>
    <row r="246" spans="1:4" ht="12.75">
      <c r="A246" s="63"/>
      <c r="D246" s="28"/>
    </row>
    <row r="247" spans="1:4" ht="12.75">
      <c r="A247" s="63"/>
      <c r="D247" s="28"/>
    </row>
    <row r="248" spans="1:4" ht="12.75">
      <c r="A248" s="63"/>
      <c r="D248" s="28"/>
    </row>
    <row r="249" spans="1:4" ht="12.75">
      <c r="A249" s="63"/>
      <c r="D249" s="28"/>
    </row>
    <row r="250" spans="1:4" ht="12.75">
      <c r="A250" s="63"/>
      <c r="D250" s="28"/>
    </row>
    <row r="251" spans="1:4" ht="12.75">
      <c r="A251" s="63"/>
      <c r="D251" s="28"/>
    </row>
    <row r="252" spans="1:4" ht="12.75">
      <c r="A252" s="63"/>
      <c r="D252" s="28"/>
    </row>
    <row r="253" spans="1:4" ht="12.75">
      <c r="A253" s="63"/>
      <c r="D253" s="28"/>
    </row>
    <row r="254" spans="1:4" ht="12.75">
      <c r="A254" s="63"/>
      <c r="D254" s="28"/>
    </row>
    <row r="255" spans="1:4" ht="12.75">
      <c r="A255" s="63"/>
      <c r="D255" s="28"/>
    </row>
    <row r="256" spans="1:4" ht="12.75">
      <c r="A256" s="63"/>
      <c r="D256" s="28"/>
    </row>
    <row r="257" spans="1:4" ht="12.75">
      <c r="A257" s="63"/>
      <c r="D257" s="28"/>
    </row>
    <row r="258" spans="1:4" ht="12.75">
      <c r="A258" s="63"/>
      <c r="D258" s="28"/>
    </row>
    <row r="259" spans="1:4" ht="12.75">
      <c r="A259" s="63"/>
      <c r="D259" s="28"/>
    </row>
    <row r="260" spans="1:4" ht="12.75">
      <c r="A260" s="63"/>
      <c r="D260" s="28"/>
    </row>
    <row r="261" spans="1:4" ht="12.75">
      <c r="A261" s="63"/>
      <c r="D261" s="28"/>
    </row>
    <row r="262" spans="1:4" ht="12.75">
      <c r="A262" s="63"/>
      <c r="D262" s="28"/>
    </row>
    <row r="263" spans="1:4" ht="12.75">
      <c r="A263" s="63"/>
      <c r="D263" s="28"/>
    </row>
    <row r="264" spans="1:4" ht="12.75">
      <c r="A264" s="63"/>
      <c r="D264" s="28"/>
    </row>
    <row r="265" spans="1:4" ht="12.75">
      <c r="A265" s="63"/>
      <c r="D265" s="28"/>
    </row>
    <row r="266" spans="1:4" ht="12.75">
      <c r="A266" s="63"/>
      <c r="D266" s="28"/>
    </row>
    <row r="267" spans="1:4" ht="12.75">
      <c r="A267" s="63"/>
      <c r="D267" s="28"/>
    </row>
    <row r="268" spans="1:4" ht="12.75">
      <c r="A268" s="63"/>
      <c r="D268" s="28"/>
    </row>
    <row r="269" spans="1:4" ht="12.75">
      <c r="A269" s="63"/>
      <c r="D269" s="28"/>
    </row>
    <row r="270" spans="1:4" ht="12.75">
      <c r="A270" s="63"/>
      <c r="D270" s="28"/>
    </row>
    <row r="271" spans="1:4" ht="12.75">
      <c r="A271" s="63"/>
      <c r="D271" s="28"/>
    </row>
    <row r="272" spans="1:4" ht="12.75">
      <c r="A272" s="63"/>
      <c r="D272" s="28"/>
    </row>
    <row r="273" spans="1:4" ht="12.75">
      <c r="A273" s="63"/>
      <c r="D273" s="28"/>
    </row>
    <row r="274" spans="1:4" ht="12.75">
      <c r="A274" s="63"/>
      <c r="D274" s="28"/>
    </row>
    <row r="275" spans="1:4" ht="12.75">
      <c r="A275" s="63"/>
      <c r="D275" s="28"/>
    </row>
    <row r="276" spans="1:4" ht="12.75">
      <c r="A276" s="63"/>
      <c r="D276" s="28"/>
    </row>
    <row r="277" spans="1:4" ht="12.75">
      <c r="A277" s="63"/>
      <c r="D277" s="28"/>
    </row>
    <row r="278" spans="1:4" ht="12.75">
      <c r="A278" s="63"/>
      <c r="D278" s="28"/>
    </row>
    <row r="279" spans="1:4" ht="12.75">
      <c r="A279" s="63"/>
      <c r="D279" s="28"/>
    </row>
    <row r="280" spans="1:4" ht="12.75">
      <c r="A280" s="63"/>
      <c r="D280" s="28"/>
    </row>
    <row r="281" spans="1:4" ht="12.75">
      <c r="A281" s="63"/>
      <c r="D281" s="28"/>
    </row>
    <row r="282" spans="1:4" ht="12.75">
      <c r="A282" s="63"/>
      <c r="D282" s="28"/>
    </row>
    <row r="283" spans="1:4" ht="12.75">
      <c r="A283" s="63"/>
      <c r="D283" s="28"/>
    </row>
    <row r="284" spans="1:4" ht="12.75">
      <c r="A284" s="63"/>
      <c r="D284" s="28"/>
    </row>
    <row r="285" spans="1:4" ht="12.75">
      <c r="A285" s="63"/>
      <c r="D285" s="28"/>
    </row>
    <row r="286" spans="1:4" ht="12.75">
      <c r="A286" s="63"/>
      <c r="D286" s="28"/>
    </row>
    <row r="287" spans="1:4" ht="12.75">
      <c r="A287" s="63"/>
      <c r="D287" s="28"/>
    </row>
    <row r="288" spans="1:4" ht="12.75">
      <c r="A288" s="63"/>
      <c r="D288" s="28"/>
    </row>
    <row r="289" spans="1:4" ht="12.75">
      <c r="A289" s="63"/>
      <c r="D289" s="28"/>
    </row>
    <row r="290" spans="1:4" ht="12.75">
      <c r="A290" s="63"/>
      <c r="D290" s="28"/>
    </row>
    <row r="291" spans="1:4" ht="12.75">
      <c r="A291" s="63"/>
      <c r="D291" s="28"/>
    </row>
    <row r="292" spans="1:4" ht="12.75">
      <c r="A292" s="63"/>
      <c r="D292" s="28"/>
    </row>
    <row r="293" spans="1:4" ht="12.75">
      <c r="A293" s="63"/>
      <c r="D293" s="28"/>
    </row>
    <row r="294" spans="1:4" ht="12.75">
      <c r="A294" s="63"/>
      <c r="D294" s="28"/>
    </row>
    <row r="295" spans="1:4" ht="12.75">
      <c r="A295" s="63"/>
      <c r="D295" s="28"/>
    </row>
    <row r="296" spans="1:4" ht="12.75">
      <c r="A296" s="63"/>
      <c r="D296" s="28"/>
    </row>
    <row r="297" spans="1:4" ht="12.75">
      <c r="A297" s="63"/>
      <c r="D297" s="28"/>
    </row>
    <row r="298" spans="1:4" ht="12.75">
      <c r="A298" s="63"/>
      <c r="D298" s="28"/>
    </row>
    <row r="299" spans="1:4" ht="12.75">
      <c r="A299" s="63"/>
      <c r="D299" s="28"/>
    </row>
    <row r="300" spans="1:4" ht="12.75">
      <c r="A300" s="63"/>
      <c r="D300" s="28"/>
    </row>
    <row r="301" spans="1:4" ht="12.75">
      <c r="A301" s="63"/>
      <c r="D301" s="28"/>
    </row>
    <row r="302" spans="1:4" ht="12.75">
      <c r="A302" s="63"/>
      <c r="D302" s="28"/>
    </row>
    <row r="303" spans="1:4" ht="12.75">
      <c r="A303" s="63"/>
      <c r="D303" s="28"/>
    </row>
    <row r="304" spans="1:4" ht="12.75">
      <c r="A304" s="63"/>
      <c r="D304" s="28"/>
    </row>
    <row r="305" spans="1:4" ht="12.75">
      <c r="A305" s="63"/>
      <c r="D305" s="28"/>
    </row>
    <row r="306" spans="1:4" ht="12.75">
      <c r="A306" s="63"/>
      <c r="D306" s="28"/>
    </row>
    <row r="307" spans="1:4" ht="12.75">
      <c r="A307" s="63"/>
      <c r="D307" s="28"/>
    </row>
    <row r="308" spans="1:4" ht="12.75">
      <c r="A308" s="63"/>
      <c r="D308" s="28"/>
    </row>
    <row r="309" spans="1:4" ht="12.75">
      <c r="A309" s="63"/>
      <c r="D309" s="28"/>
    </row>
    <row r="310" spans="1:4" ht="12.75">
      <c r="A310" s="63"/>
      <c r="D310" s="28"/>
    </row>
    <row r="311" spans="1:4" ht="12.75">
      <c r="A311" s="63"/>
      <c r="D311" s="28"/>
    </row>
    <row r="312" spans="1:4" ht="12.75">
      <c r="A312" s="63"/>
      <c r="D312" s="28"/>
    </row>
    <row r="313" spans="1:4" ht="12.75">
      <c r="A313" s="63"/>
      <c r="D313" s="28"/>
    </row>
    <row r="314" spans="1:4" ht="12.75">
      <c r="A314" s="63"/>
      <c r="D314" s="28"/>
    </row>
    <row r="315" spans="1:4" ht="12.75">
      <c r="A315" s="63"/>
      <c r="D315" s="28"/>
    </row>
    <row r="316" spans="1:4" ht="12.75">
      <c r="A316" s="63"/>
      <c r="D316" s="28"/>
    </row>
    <row r="317" spans="1:4" ht="12.75">
      <c r="A317" s="63"/>
      <c r="D317" s="28"/>
    </row>
    <row r="318" spans="1:4" ht="12.75">
      <c r="A318" s="63"/>
      <c r="D318" s="28"/>
    </row>
    <row r="319" spans="1:4" ht="12.75">
      <c r="A319" s="63"/>
      <c r="D319" s="28"/>
    </row>
    <row r="320" spans="1:4" ht="12.75">
      <c r="A320" s="63"/>
      <c r="D320" s="28"/>
    </row>
    <row r="321" spans="1:4" ht="12.75">
      <c r="A321" s="63"/>
      <c r="D321" s="28"/>
    </row>
    <row r="322" spans="1:4" ht="12.75">
      <c r="A322" s="63"/>
      <c r="D322" s="28"/>
    </row>
    <row r="323" spans="1:4" ht="12.75">
      <c r="A323" s="63"/>
      <c r="D323" s="28"/>
    </row>
    <row r="324" spans="1:4" ht="12.75">
      <c r="A324" s="63"/>
      <c r="D324" s="28"/>
    </row>
    <row r="325" spans="1:4" ht="12.75">
      <c r="A325" s="63"/>
      <c r="D325" s="28"/>
    </row>
    <row r="326" spans="1:4" ht="12.75">
      <c r="A326" s="63"/>
      <c r="D326" s="28"/>
    </row>
    <row r="327" spans="1:4" ht="12.75">
      <c r="A327" s="63"/>
      <c r="D327" s="28"/>
    </row>
    <row r="328" spans="1:4" ht="12.75">
      <c r="A328" s="63"/>
      <c r="D328" s="28"/>
    </row>
    <row r="329" spans="1:4" ht="12.75">
      <c r="A329" s="63"/>
      <c r="D329" s="28"/>
    </row>
    <row r="330" spans="1:4" ht="12.75">
      <c r="A330" s="63"/>
      <c r="D330" s="28"/>
    </row>
    <row r="331" spans="1:4" ht="12.75">
      <c r="A331" s="63"/>
      <c r="D331" s="28"/>
    </row>
    <row r="332" spans="1:4" ht="12.75">
      <c r="A332" s="63"/>
      <c r="D332" s="28"/>
    </row>
    <row r="333" spans="1:4" ht="12.75">
      <c r="A333" s="63"/>
      <c r="D333" s="28"/>
    </row>
    <row r="334" spans="1:4" ht="12.75">
      <c r="A334" s="63"/>
      <c r="D334" s="28"/>
    </row>
    <row r="335" spans="1:4" ht="12.75">
      <c r="A335" s="63"/>
      <c r="D335" s="28"/>
    </row>
    <row r="336" spans="1:4" ht="12.75">
      <c r="A336" s="63"/>
      <c r="D336" s="28"/>
    </row>
    <row r="337" spans="1:4" ht="12.75">
      <c r="A337" s="63"/>
      <c r="D337" s="28"/>
    </row>
    <row r="338" spans="1:4" ht="12.75">
      <c r="A338" s="63"/>
      <c r="D338" s="28"/>
    </row>
    <row r="339" spans="1:4" ht="12.75">
      <c r="A339" s="63"/>
      <c r="D339" s="28"/>
    </row>
    <row r="340" spans="1:4" ht="12.75">
      <c r="A340" s="63"/>
      <c r="D340" s="28"/>
    </row>
    <row r="341" spans="1:4" ht="12.75">
      <c r="A341" s="63"/>
      <c r="D341" s="28"/>
    </row>
    <row r="342" spans="1:4" ht="12.75">
      <c r="A342" s="63"/>
      <c r="D342" s="28"/>
    </row>
    <row r="343" spans="1:4" ht="12.75">
      <c r="A343" s="63"/>
      <c r="D343" s="28"/>
    </row>
    <row r="344" spans="1:4" ht="12.75">
      <c r="A344" s="63"/>
      <c r="D344" s="28"/>
    </row>
    <row r="345" spans="1:4" ht="12.75">
      <c r="A345" s="63"/>
      <c r="D345" s="28"/>
    </row>
    <row r="346" spans="1:4" ht="12.75">
      <c r="A346" s="63"/>
      <c r="D346" s="28"/>
    </row>
    <row r="347" spans="1:4" ht="12.75">
      <c r="A347" s="63"/>
      <c r="D347" s="28"/>
    </row>
    <row r="348" spans="1:4" ht="12.75">
      <c r="A348" s="63"/>
      <c r="D348" s="28"/>
    </row>
    <row r="349" spans="1:4" ht="12.75">
      <c r="A349" s="63"/>
      <c r="D349" s="28"/>
    </row>
    <row r="350" spans="1:4" ht="12.75">
      <c r="A350" s="63"/>
      <c r="D350" s="28"/>
    </row>
    <row r="351" spans="1:4" ht="12.75">
      <c r="A351" s="63"/>
      <c r="D351" s="28"/>
    </row>
    <row r="352" spans="1:4" ht="12.75">
      <c r="A352" s="63"/>
      <c r="D352" s="28"/>
    </row>
    <row r="353" spans="1:4" ht="12.75">
      <c r="A353" s="63"/>
      <c r="D353" s="28"/>
    </row>
    <row r="354" spans="1:4" ht="12.75">
      <c r="A354" s="63"/>
      <c r="D354" s="28"/>
    </row>
    <row r="355" spans="1:4" ht="12.75">
      <c r="A355" s="63"/>
      <c r="D355" s="28"/>
    </row>
    <row r="356" spans="1:4" ht="12.75">
      <c r="A356" s="63"/>
      <c r="D356" s="28"/>
    </row>
    <row r="357" spans="1:4" ht="12.75">
      <c r="A357" s="63"/>
      <c r="D357" s="28"/>
    </row>
    <row r="358" spans="1:4" ht="12.75">
      <c r="A358" s="63"/>
      <c r="D358" s="28"/>
    </row>
    <row r="359" spans="1:4" ht="12.75">
      <c r="A359" s="63"/>
      <c r="D359" s="28"/>
    </row>
    <row r="360" spans="1:4" ht="12.75">
      <c r="A360" s="63"/>
      <c r="D360" s="28"/>
    </row>
    <row r="361" spans="1:4" ht="12.75">
      <c r="A361" s="63"/>
      <c r="D361" s="28"/>
    </row>
    <row r="362" spans="1:4" ht="12.75">
      <c r="A362" s="63"/>
      <c r="D362" s="28"/>
    </row>
    <row r="363" spans="1:4" ht="12.75">
      <c r="A363" s="63"/>
      <c r="D363" s="28"/>
    </row>
    <row r="364" spans="1:4" ht="12.75">
      <c r="A364" s="63"/>
      <c r="D364" s="28"/>
    </row>
    <row r="365" spans="1:4" ht="12.75">
      <c r="A365" s="63"/>
      <c r="D365" s="28"/>
    </row>
    <row r="366" spans="1:4" ht="12.75">
      <c r="A366" s="63"/>
      <c r="D366" s="28"/>
    </row>
    <row r="367" spans="1:4" ht="12.75">
      <c r="A367" s="63"/>
      <c r="D367" s="28"/>
    </row>
    <row r="368" spans="1:4" ht="12.75">
      <c r="A368" s="63"/>
      <c r="D368" s="28"/>
    </row>
    <row r="369" spans="1:4" ht="12.75">
      <c r="A369" s="63"/>
      <c r="D369" s="28"/>
    </row>
    <row r="370" spans="1:4" ht="12.75">
      <c r="A370" s="63"/>
      <c r="D370" s="28"/>
    </row>
    <row r="371" spans="1:4" ht="12.75">
      <c r="A371" s="63"/>
      <c r="D371" s="28"/>
    </row>
    <row r="372" spans="1:4" ht="12.75">
      <c r="A372" s="63"/>
      <c r="D372" s="28"/>
    </row>
    <row r="373" spans="1:4" ht="12.75">
      <c r="A373" s="63"/>
      <c r="D373" s="28"/>
    </row>
    <row r="374" spans="1:4" ht="12.75">
      <c r="A374" s="63"/>
      <c r="D374" s="28"/>
    </row>
    <row r="375" spans="1:4" ht="12.75">
      <c r="A375" s="63"/>
      <c r="D375" s="28"/>
    </row>
    <row r="376" spans="1:4" ht="12.75">
      <c r="A376" s="63"/>
      <c r="D376" s="28"/>
    </row>
    <row r="377" spans="1:4" ht="12.75">
      <c r="A377" s="63"/>
      <c r="D377" s="28"/>
    </row>
    <row r="378" spans="1:4" ht="12.75">
      <c r="A378" s="63"/>
      <c r="D378" s="28"/>
    </row>
    <row r="379" spans="1:4" ht="12.75">
      <c r="A379" s="63"/>
      <c r="D379" s="28"/>
    </row>
    <row r="380" spans="1:4" ht="12.75">
      <c r="A380" s="63"/>
      <c r="D380" s="28"/>
    </row>
    <row r="381" spans="1:4" ht="12.75">
      <c r="A381" s="63"/>
      <c r="D381" s="28"/>
    </row>
    <row r="382" spans="1:4" ht="12.75">
      <c r="A382" s="63"/>
      <c r="D382" s="28"/>
    </row>
    <row r="383" spans="1:4" ht="12.75">
      <c r="A383" s="63"/>
      <c r="D383" s="28"/>
    </row>
    <row r="384" spans="1:4" ht="12.75">
      <c r="A384" s="63"/>
      <c r="D384" s="28"/>
    </row>
    <row r="385" spans="1:4" ht="12.75">
      <c r="A385" s="63"/>
      <c r="D385" s="28"/>
    </row>
    <row r="386" spans="1:4" ht="12.75">
      <c r="A386" s="63"/>
      <c r="D386" s="28"/>
    </row>
    <row r="387" spans="1:4" ht="12.75">
      <c r="A387" s="63"/>
      <c r="D387" s="28"/>
    </row>
    <row r="388" spans="1:4" ht="12.75">
      <c r="A388" s="63"/>
      <c r="D388" s="28"/>
    </row>
    <row r="389" spans="1:4" ht="12.75">
      <c r="A389" s="63"/>
      <c r="D389" s="28"/>
    </row>
    <row r="390" spans="1:4" ht="12.75">
      <c r="A390" s="63"/>
      <c r="D390" s="28"/>
    </row>
    <row r="391" spans="1:4" ht="12.75">
      <c r="A391" s="63"/>
      <c r="D391" s="28"/>
    </row>
    <row r="392" spans="1:4" ht="12.75">
      <c r="A392" s="63"/>
      <c r="D392" s="28"/>
    </row>
    <row r="393" spans="1:4" ht="12.75">
      <c r="A393" s="63"/>
      <c r="D393" s="28"/>
    </row>
    <row r="394" spans="1:4" ht="12.75">
      <c r="A394" s="63"/>
      <c r="D394" s="28"/>
    </row>
    <row r="395" spans="1:4" ht="12.75">
      <c r="A395" s="63"/>
      <c r="D395" s="28"/>
    </row>
    <row r="396" spans="1:4" ht="12.75">
      <c r="A396" s="63"/>
      <c r="D396" s="28"/>
    </row>
    <row r="397" spans="1:4" ht="12.75">
      <c r="A397" s="63"/>
      <c r="D397" s="28"/>
    </row>
    <row r="398" spans="1:4" ht="12.75">
      <c r="A398" s="63"/>
      <c r="D398" s="28"/>
    </row>
    <row r="399" spans="1:4" ht="12.75">
      <c r="A399" s="63"/>
      <c r="D399" s="28"/>
    </row>
    <row r="400" spans="1:4" ht="12.75">
      <c r="A400" s="63"/>
      <c r="D400" s="28"/>
    </row>
    <row r="401" spans="1:4" ht="12.75">
      <c r="A401" s="63"/>
      <c r="D401" s="28"/>
    </row>
    <row r="402" spans="1:4" ht="12.75">
      <c r="A402" s="63"/>
      <c r="D402" s="28"/>
    </row>
    <row r="403" spans="1:4" ht="12.75">
      <c r="A403" s="63"/>
      <c r="D403" s="28"/>
    </row>
    <row r="404" spans="1:4" ht="12.75">
      <c r="A404" s="63"/>
      <c r="D404" s="28"/>
    </row>
    <row r="405" spans="1:4" ht="12.75">
      <c r="A405" s="63"/>
      <c r="D405" s="28"/>
    </row>
    <row r="406" spans="1:4" ht="12.75">
      <c r="A406" s="63"/>
      <c r="D406" s="28"/>
    </row>
    <row r="407" spans="1:4" ht="12.75">
      <c r="A407" s="63"/>
      <c r="D407" s="28"/>
    </row>
    <row r="408" spans="1:4" ht="12.75">
      <c r="A408" s="63"/>
      <c r="D408" s="28"/>
    </row>
    <row r="409" spans="1:4" ht="12.75">
      <c r="A409" s="63"/>
      <c r="D409" s="28"/>
    </row>
    <row r="410" spans="1:4" ht="12.75">
      <c r="A410" s="63"/>
      <c r="D410" s="28"/>
    </row>
    <row r="411" spans="1:4" ht="12.75">
      <c r="A411" s="63"/>
      <c r="D411" s="28"/>
    </row>
    <row r="412" spans="1:4" ht="12.75">
      <c r="A412" s="63"/>
      <c r="D412" s="28"/>
    </row>
    <row r="413" spans="1:4" ht="12.75">
      <c r="A413" s="63"/>
      <c r="D413" s="28"/>
    </row>
    <row r="414" spans="1:4" ht="12.75">
      <c r="A414" s="63"/>
      <c r="D414" s="28"/>
    </row>
    <row r="415" spans="1:4" ht="12.75">
      <c r="A415" s="63"/>
      <c r="D415" s="28"/>
    </row>
    <row r="416" spans="1:4" ht="12.75">
      <c r="A416" s="63"/>
      <c r="D416" s="28"/>
    </row>
    <row r="417" spans="1:4" ht="12.75">
      <c r="A417" s="63"/>
      <c r="D417" s="28"/>
    </row>
    <row r="418" spans="1:4" ht="12.75">
      <c r="A418" s="63"/>
      <c r="D418" s="28"/>
    </row>
    <row r="419" spans="1:4" ht="12.75">
      <c r="A419" s="63"/>
      <c r="D419" s="28"/>
    </row>
    <row r="420" spans="1:4" ht="12.75">
      <c r="A420" s="63"/>
      <c r="D420" s="28"/>
    </row>
    <row r="421" spans="1:4" ht="12.75">
      <c r="A421" s="63"/>
      <c r="D421" s="28"/>
    </row>
    <row r="422" spans="1:4" ht="12.75">
      <c r="A422" s="63"/>
      <c r="D422" s="28"/>
    </row>
    <row r="423" spans="1:4" ht="12.75">
      <c r="A423" s="63"/>
      <c r="D423" s="28"/>
    </row>
    <row r="424" spans="1:4" ht="12.75">
      <c r="A424" s="63"/>
      <c r="D424" s="28"/>
    </row>
    <row r="425" spans="1:4" ht="12.75">
      <c r="A425" s="63"/>
      <c r="D425" s="28"/>
    </row>
    <row r="426" spans="1:4" ht="12.75">
      <c r="A426" s="63"/>
      <c r="D426" s="28"/>
    </row>
    <row r="427" spans="1:4" ht="12.75">
      <c r="A427" s="63"/>
      <c r="D427" s="28"/>
    </row>
    <row r="428" spans="1:4" ht="12.75">
      <c r="A428" s="63"/>
      <c r="D428" s="28"/>
    </row>
    <row r="429" spans="1:4" ht="12.75">
      <c r="A429" s="63"/>
      <c r="D429" s="28"/>
    </row>
    <row r="430" spans="1:4" ht="12.75">
      <c r="A430" s="63"/>
      <c r="D430" s="28"/>
    </row>
    <row r="431" spans="1:4" ht="12.75">
      <c r="A431" s="63"/>
      <c r="D431" s="28"/>
    </row>
    <row r="432" spans="1:4" ht="12.75">
      <c r="A432" s="63"/>
      <c r="D432" s="28"/>
    </row>
    <row r="433" spans="1:4" ht="12.75">
      <c r="A433" s="63"/>
      <c r="D433" s="28"/>
    </row>
    <row r="434" spans="1:4" ht="12.75">
      <c r="A434" s="63"/>
      <c r="D434" s="28"/>
    </row>
    <row r="435" spans="1:4" ht="12.75">
      <c r="A435" s="63"/>
      <c r="D435" s="28"/>
    </row>
    <row r="436" spans="1:4" ht="12.75">
      <c r="A436" s="63"/>
      <c r="D436" s="28"/>
    </row>
    <row r="437" spans="1:4" ht="12.75">
      <c r="A437" s="63"/>
      <c r="D437" s="28"/>
    </row>
    <row r="438" spans="1:4" ht="12.75">
      <c r="A438" s="63"/>
      <c r="D438" s="28"/>
    </row>
    <row r="439" spans="1:4" ht="12.75">
      <c r="A439" s="63"/>
      <c r="D439" s="28"/>
    </row>
    <row r="440" spans="1:4" ht="12.75">
      <c r="A440" s="63"/>
      <c r="D440" s="28"/>
    </row>
    <row r="441" spans="1:4" ht="12.75">
      <c r="A441" s="63"/>
      <c r="D441" s="28"/>
    </row>
    <row r="442" spans="1:4" ht="12.75">
      <c r="A442" s="63"/>
      <c r="D442" s="28"/>
    </row>
    <row r="443" spans="1:4" ht="12.75">
      <c r="A443" s="63"/>
      <c r="D443" s="28"/>
    </row>
    <row r="444" spans="1:4" ht="12.75">
      <c r="A444" s="63"/>
      <c r="D444" s="28"/>
    </row>
    <row r="445" spans="1:4" ht="12.75">
      <c r="A445" s="63"/>
      <c r="D445" s="28"/>
    </row>
    <row r="446" spans="1:4" ht="12.75">
      <c r="A446" s="63"/>
      <c r="D446" s="28"/>
    </row>
    <row r="447" spans="1:4" ht="12.75">
      <c r="A447" s="63"/>
      <c r="D447" s="28"/>
    </row>
    <row r="448" spans="1:4" ht="12.75">
      <c r="A448" s="63"/>
      <c r="D448" s="28"/>
    </row>
    <row r="449" spans="1:4" ht="12.75">
      <c r="A449" s="63"/>
      <c r="D449" s="28"/>
    </row>
    <row r="450" spans="1:4" ht="12.75">
      <c r="A450" s="63"/>
      <c r="D450" s="28"/>
    </row>
    <row r="451" spans="1:4" ht="12.75">
      <c r="A451" s="63"/>
      <c r="D451" s="28"/>
    </row>
    <row r="452" spans="1:4" ht="12.75">
      <c r="A452" s="63"/>
      <c r="D452" s="28"/>
    </row>
    <row r="453" spans="1:4" ht="12.75">
      <c r="A453" s="63"/>
      <c r="D453" s="28"/>
    </row>
    <row r="454" spans="1:4" ht="12.75">
      <c r="A454" s="63"/>
      <c r="D454" s="28"/>
    </row>
    <row r="455" spans="1:4" ht="12.75">
      <c r="A455" s="63"/>
      <c r="D455" s="28"/>
    </row>
    <row r="456" spans="1:4" ht="12.75">
      <c r="A456" s="63"/>
      <c r="D456" s="28"/>
    </row>
    <row r="457" spans="1:4" ht="12.75">
      <c r="A457" s="63"/>
      <c r="D457" s="28"/>
    </row>
    <row r="458" spans="1:4" ht="12.75">
      <c r="A458" s="63"/>
      <c r="D458" s="28"/>
    </row>
    <row r="459" spans="1:4" ht="12.75">
      <c r="A459" s="63"/>
      <c r="D459" s="28"/>
    </row>
    <row r="460" spans="1:4" ht="12.75">
      <c r="A460" s="63"/>
      <c r="D460" s="28"/>
    </row>
    <row r="461" spans="1:4" ht="12.75">
      <c r="A461" s="63"/>
      <c r="D461" s="28"/>
    </row>
    <row r="462" spans="1:4" ht="12.75">
      <c r="A462" s="63"/>
      <c r="D462" s="28"/>
    </row>
    <row r="463" spans="1:4" ht="12.75">
      <c r="A463" s="63"/>
      <c r="D463" s="28"/>
    </row>
    <row r="464" spans="1:4" ht="12.75">
      <c r="A464" s="63"/>
      <c r="D464" s="28"/>
    </row>
    <row r="465" spans="1:4" ht="12.75">
      <c r="A465" s="63"/>
      <c r="D465" s="28"/>
    </row>
    <row r="466" spans="1:4" ht="12.75">
      <c r="A466" s="63"/>
      <c r="D466" s="28"/>
    </row>
    <row r="467" spans="1:4" ht="12.75">
      <c r="A467" s="63"/>
      <c r="D467" s="28"/>
    </row>
    <row r="468" spans="1:4" ht="12.75">
      <c r="A468" s="63"/>
      <c r="D468" s="28"/>
    </row>
    <row r="469" spans="1:4" ht="12.75">
      <c r="A469" s="63"/>
      <c r="D469" s="28"/>
    </row>
    <row r="470" spans="1:4" ht="12.75">
      <c r="A470" s="63"/>
      <c r="D470" s="28"/>
    </row>
    <row r="471" spans="1:4" ht="12.75">
      <c r="A471" s="63"/>
      <c r="D471" s="28"/>
    </row>
    <row r="472" spans="1:4" ht="12.75">
      <c r="A472" s="63"/>
      <c r="D472" s="28"/>
    </row>
    <row r="473" spans="1:4" ht="12.75">
      <c r="A473" s="63"/>
      <c r="D473" s="28"/>
    </row>
    <row r="474" spans="1:4" ht="12.75">
      <c r="A474" s="63"/>
      <c r="D474" s="28"/>
    </row>
    <row r="475" spans="1:4" ht="12.75">
      <c r="A475" s="63"/>
      <c r="D475" s="28"/>
    </row>
    <row r="476" spans="1:4" ht="12.75">
      <c r="A476" s="63"/>
      <c r="D476" s="28"/>
    </row>
    <row r="477" spans="1:4" ht="12.75">
      <c r="A477" s="63"/>
      <c r="D477" s="28"/>
    </row>
    <row r="478" spans="1:4" ht="12.75">
      <c r="A478" s="63"/>
      <c r="D478" s="28"/>
    </row>
    <row r="479" spans="1:4" ht="12.75">
      <c r="A479" s="63"/>
      <c r="D479" s="28"/>
    </row>
    <row r="480" spans="1:4" ht="12.75">
      <c r="A480" s="63"/>
      <c r="D480" s="28"/>
    </row>
    <row r="481" spans="1:4" ht="12.75">
      <c r="A481" s="63"/>
      <c r="D481" s="28"/>
    </row>
    <row r="482" spans="1:4" ht="12.75">
      <c r="A482" s="63"/>
      <c r="D482" s="28"/>
    </row>
    <row r="483" spans="1:4" ht="12.75">
      <c r="A483" s="63"/>
      <c r="D483" s="28"/>
    </row>
    <row r="484" spans="1:4" ht="12.75">
      <c r="A484" s="63"/>
      <c r="D484" s="28"/>
    </row>
    <row r="485" spans="1:4" ht="12.75">
      <c r="A485" s="63"/>
      <c r="D485" s="28"/>
    </row>
    <row r="486" spans="1:4" ht="12.75">
      <c r="A486" s="63"/>
      <c r="D486" s="28"/>
    </row>
    <row r="487" spans="1:4" ht="12.75">
      <c r="A487" s="63"/>
      <c r="D487" s="28"/>
    </row>
    <row r="488" spans="1:4" ht="12.75">
      <c r="A488" s="63"/>
      <c r="D488" s="28"/>
    </row>
    <row r="489" spans="1:4" ht="12.75">
      <c r="A489" s="63"/>
      <c r="D489" s="28"/>
    </row>
    <row r="490" spans="1:4" ht="12.75">
      <c r="A490" s="63"/>
      <c r="D490" s="28"/>
    </row>
    <row r="491" spans="1:4" ht="12.75">
      <c r="A491" s="63"/>
      <c r="D491" s="28"/>
    </row>
    <row r="492" spans="1:4" ht="12.75">
      <c r="A492" s="63"/>
      <c r="D492" s="28"/>
    </row>
    <row r="493" spans="1:4" ht="12.75">
      <c r="A493" s="63"/>
      <c r="D493" s="28"/>
    </row>
    <row r="494" spans="1:4" ht="12.75">
      <c r="A494" s="63"/>
      <c r="D494" s="28"/>
    </row>
    <row r="495" spans="1:4" ht="12.75">
      <c r="A495" s="63"/>
      <c r="D495" s="28"/>
    </row>
    <row r="496" spans="1:4" ht="12.75">
      <c r="A496" s="63"/>
      <c r="D496" s="28"/>
    </row>
    <row r="497" spans="1:4" ht="12.75">
      <c r="A497" s="63"/>
      <c r="D497" s="28"/>
    </row>
    <row r="498" spans="1:4" ht="12.75">
      <c r="A498" s="63"/>
      <c r="D498" s="28"/>
    </row>
    <row r="499" spans="1:4" ht="12.75">
      <c r="A499" s="63"/>
      <c r="D499" s="28"/>
    </row>
    <row r="500" spans="1:4" ht="12.75">
      <c r="A500" s="63"/>
      <c r="D500" s="28"/>
    </row>
    <row r="501" spans="1:4" ht="12.75">
      <c r="A501" s="63"/>
      <c r="D501" s="28"/>
    </row>
    <row r="502" spans="1:4" ht="12.75">
      <c r="A502" s="63"/>
      <c r="D502" s="28"/>
    </row>
    <row r="503" spans="1:4" ht="12.75">
      <c r="A503" s="63"/>
      <c r="D503" s="28"/>
    </row>
    <row r="504" spans="1:4" ht="12.75">
      <c r="A504" s="63"/>
      <c r="D504" s="28"/>
    </row>
    <row r="505" spans="1:4" ht="12.75">
      <c r="A505" s="63"/>
      <c r="D505" s="28"/>
    </row>
    <row r="506" spans="1:4" ht="12.75">
      <c r="A506" s="63"/>
      <c r="D506" s="28"/>
    </row>
    <row r="507" spans="1:4" ht="12.75">
      <c r="A507" s="63"/>
      <c r="D507" s="28"/>
    </row>
    <row r="508" spans="1:4" ht="12.75">
      <c r="A508" s="63"/>
      <c r="D508" s="28"/>
    </row>
    <row r="509" spans="1:4" ht="12.75">
      <c r="A509" s="63"/>
      <c r="D509" s="28"/>
    </row>
    <row r="510" spans="1:4" ht="12.75">
      <c r="A510" s="63"/>
      <c r="D510" s="28"/>
    </row>
    <row r="511" spans="1:4" ht="12.75">
      <c r="A511" s="63"/>
      <c r="D511" s="28"/>
    </row>
    <row r="512" spans="1:4" ht="12.75">
      <c r="A512" s="63"/>
      <c r="D512" s="28"/>
    </row>
    <row r="513" spans="1:4" ht="12.75">
      <c r="A513" s="63"/>
      <c r="D513" s="28"/>
    </row>
    <row r="514" spans="1:4" ht="12.75">
      <c r="A514" s="63"/>
      <c r="D514" s="28"/>
    </row>
    <row r="515" spans="1:4" ht="12.75">
      <c r="A515" s="63"/>
      <c r="D515" s="28"/>
    </row>
    <row r="516" spans="1:4" ht="12.75">
      <c r="A516" s="63"/>
      <c r="D516" s="28"/>
    </row>
    <row r="517" spans="1:4" ht="12.75">
      <c r="A517" s="63"/>
      <c r="D517" s="28"/>
    </row>
    <row r="518" spans="1:4" ht="12.75">
      <c r="A518" s="63"/>
      <c r="D518" s="28"/>
    </row>
    <row r="519" spans="1:4" ht="12.75">
      <c r="A519" s="63"/>
      <c r="D519" s="28"/>
    </row>
    <row r="520" spans="1:4" ht="12.75">
      <c r="A520" s="63"/>
      <c r="D520" s="28"/>
    </row>
    <row r="521" spans="1:4" ht="12.75">
      <c r="A521" s="63"/>
      <c r="D521" s="28"/>
    </row>
    <row r="522" spans="1:4" ht="12.75">
      <c r="A522" s="63"/>
      <c r="D522" s="28"/>
    </row>
    <row r="523" spans="1:4" ht="12.75">
      <c r="A523" s="63"/>
      <c r="D523" s="28"/>
    </row>
    <row r="524" spans="1:4" ht="12.75">
      <c r="A524" s="63"/>
      <c r="D524" s="28"/>
    </row>
    <row r="525" spans="1:4" ht="12.75">
      <c r="A525" s="63"/>
      <c r="D525" s="28"/>
    </row>
    <row r="526" spans="1:4" ht="12.75">
      <c r="A526" s="63"/>
      <c r="D526" s="28"/>
    </row>
    <row r="527" spans="1:4" ht="12.75">
      <c r="A527" s="63"/>
      <c r="D527" s="28"/>
    </row>
    <row r="528" spans="1:4" ht="12.75">
      <c r="A528" s="63"/>
      <c r="D528" s="28"/>
    </row>
    <row r="529" spans="1:4" ht="12.75">
      <c r="A529" s="63"/>
      <c r="D529" s="28"/>
    </row>
    <row r="530" spans="1:4" ht="12.75">
      <c r="A530" s="63"/>
      <c r="D530" s="28"/>
    </row>
    <row r="531" spans="1:4" ht="12.75">
      <c r="A531" s="63"/>
      <c r="D531" s="28"/>
    </row>
    <row r="532" spans="1:4" ht="12.75">
      <c r="A532" s="63"/>
      <c r="D532" s="28"/>
    </row>
    <row r="533" spans="1:4" ht="12.75">
      <c r="A533" s="63"/>
      <c r="D533" s="28"/>
    </row>
    <row r="534" spans="1:4" ht="12.75">
      <c r="A534" s="63"/>
      <c r="D534" s="28"/>
    </row>
    <row r="535" spans="1:4" ht="12.75">
      <c r="A535" s="63"/>
      <c r="D535" s="28"/>
    </row>
    <row r="536" spans="1:4" ht="12.75">
      <c r="A536" s="63"/>
      <c r="D536" s="28"/>
    </row>
    <row r="537" spans="1:4" ht="12.75">
      <c r="A537" s="63"/>
      <c r="D537" s="28"/>
    </row>
    <row r="538" spans="1:4" ht="12.75">
      <c r="A538" s="63"/>
      <c r="D538" s="28"/>
    </row>
    <row r="539" spans="1:4" ht="12.75">
      <c r="A539" s="63"/>
      <c r="D539" s="28"/>
    </row>
    <row r="540" spans="1:4" ht="12.75">
      <c r="A540" s="63"/>
      <c r="D540" s="28"/>
    </row>
    <row r="541" spans="1:4" ht="12.75">
      <c r="A541" s="63"/>
      <c r="D541" s="28"/>
    </row>
    <row r="542" spans="1:4" ht="12.75">
      <c r="A542" s="63"/>
      <c r="D542" s="28"/>
    </row>
    <row r="543" spans="1:4" ht="12.75">
      <c r="A543" s="63"/>
      <c r="D543" s="28"/>
    </row>
    <row r="544" spans="1:4" ht="12.75">
      <c r="A544" s="63"/>
      <c r="D544" s="28"/>
    </row>
    <row r="545" spans="1:4" ht="12.75">
      <c r="A545" s="63"/>
      <c r="D545" s="28"/>
    </row>
    <row r="546" spans="1:4" ht="12.75">
      <c r="A546" s="63"/>
      <c r="D546" s="28"/>
    </row>
    <row r="547" spans="1:4" ht="12.75">
      <c r="A547" s="63"/>
      <c r="D547" s="28"/>
    </row>
    <row r="548" spans="1:4" ht="12.75">
      <c r="A548" s="63"/>
      <c r="D548" s="28"/>
    </row>
    <row r="549" spans="1:4" ht="12.75">
      <c r="A549" s="63"/>
      <c r="D549" s="28"/>
    </row>
    <row r="550" spans="1:4" ht="12.75">
      <c r="A550" s="63"/>
      <c r="D550" s="28"/>
    </row>
    <row r="551" spans="1:4" ht="12.75">
      <c r="A551" s="63"/>
      <c r="D551" s="28"/>
    </row>
    <row r="552" spans="1:4" ht="12.75">
      <c r="A552" s="63"/>
      <c r="D552" s="28"/>
    </row>
    <row r="553" spans="1:4" ht="12.75">
      <c r="A553" s="63"/>
      <c r="D553" s="28"/>
    </row>
    <row r="554" spans="1:4" ht="12.75">
      <c r="A554" s="63"/>
      <c r="D554" s="28"/>
    </row>
    <row r="555" spans="1:4" ht="12.75">
      <c r="A555" s="63"/>
      <c r="D555" s="28"/>
    </row>
    <row r="556" spans="1:4" ht="12.75">
      <c r="A556" s="63"/>
      <c r="D556" s="28"/>
    </row>
    <row r="557" spans="1:4" ht="12.75">
      <c r="A557" s="63"/>
      <c r="D557" s="28"/>
    </row>
    <row r="558" spans="1:4" ht="12.75">
      <c r="A558" s="63"/>
      <c r="D558" s="28"/>
    </row>
    <row r="559" spans="1:4" ht="12.75">
      <c r="A559" s="63"/>
      <c r="D559" s="28"/>
    </row>
    <row r="560" spans="1:4" ht="12.75">
      <c r="A560" s="63"/>
      <c r="D560" s="28"/>
    </row>
    <row r="561" spans="1:4" ht="12.75">
      <c r="A561" s="63"/>
      <c r="D561" s="28"/>
    </row>
    <row r="562" spans="1:4" ht="12.75">
      <c r="A562" s="63"/>
      <c r="D562" s="28"/>
    </row>
    <row r="563" spans="1:4" ht="12.75">
      <c r="A563" s="63"/>
      <c r="D563" s="28"/>
    </row>
    <row r="564" spans="1:4" ht="12.75">
      <c r="A564" s="63"/>
      <c r="D564" s="28"/>
    </row>
    <row r="565" spans="1:4" ht="12.75">
      <c r="A565" s="63"/>
      <c r="D565" s="28"/>
    </row>
    <row r="566" spans="1:4" ht="12.75">
      <c r="A566" s="63"/>
      <c r="D566" s="28"/>
    </row>
    <row r="567" spans="1:4" ht="12.75">
      <c r="A567" s="63"/>
      <c r="D567" s="28"/>
    </row>
    <row r="568" spans="1:4" ht="12.75">
      <c r="A568" s="63"/>
      <c r="D568" s="28"/>
    </row>
    <row r="569" spans="1:4" ht="12.75">
      <c r="A569" s="63"/>
      <c r="D569" s="28"/>
    </row>
    <row r="570" spans="1:4" ht="12.75">
      <c r="A570" s="63"/>
      <c r="D570" s="28"/>
    </row>
    <row r="571" spans="1:4" ht="12.75">
      <c r="A571" s="63"/>
      <c r="D571" s="28"/>
    </row>
    <row r="572" spans="1:4" ht="12.75">
      <c r="A572" s="63"/>
      <c r="D572" s="28"/>
    </row>
    <row r="573" spans="1:4" ht="12.75">
      <c r="A573" s="63"/>
      <c r="D573" s="28"/>
    </row>
    <row r="574" spans="1:4" ht="12.75">
      <c r="A574" s="63"/>
      <c r="D574" s="28"/>
    </row>
    <row r="575" spans="1:4" ht="12.75">
      <c r="A575" s="63"/>
      <c r="D575" s="28"/>
    </row>
    <row r="576" spans="1:4" ht="12.75">
      <c r="A576" s="63"/>
      <c r="D576" s="28"/>
    </row>
    <row r="577" spans="1:4" ht="12.75">
      <c r="A577" s="63"/>
      <c r="D577" s="28"/>
    </row>
    <row r="578" spans="1:4" ht="12.75">
      <c r="A578" s="63"/>
      <c r="D578" s="28"/>
    </row>
    <row r="579" spans="1:4" ht="12.75">
      <c r="A579" s="63"/>
      <c r="D579" s="28"/>
    </row>
    <row r="580" spans="1:4" ht="12.75">
      <c r="A580" s="63"/>
      <c r="D580" s="28"/>
    </row>
    <row r="581" spans="1:4" ht="12.75">
      <c r="A581" s="63"/>
      <c r="D581" s="28"/>
    </row>
    <row r="582" spans="1:4" ht="12.75">
      <c r="A582" s="63"/>
      <c r="D582" s="28"/>
    </row>
    <row r="583" spans="1:4" ht="12.75">
      <c r="A583" s="63"/>
      <c r="D583" s="28"/>
    </row>
    <row r="584" spans="1:4" ht="12.75">
      <c r="A584" s="63"/>
      <c r="D584" s="28"/>
    </row>
    <row r="585" spans="1:4" ht="12.75">
      <c r="A585" s="63"/>
      <c r="D585" s="28"/>
    </row>
    <row r="586" spans="1:4" ht="12.75">
      <c r="A586" s="63"/>
      <c r="D586" s="28"/>
    </row>
    <row r="587" spans="1:4" ht="12.75">
      <c r="A587" s="63"/>
      <c r="D587" s="28"/>
    </row>
    <row r="588" spans="1:4" ht="12.75">
      <c r="A588" s="63"/>
      <c r="D588" s="28"/>
    </row>
    <row r="589" spans="1:4" ht="12.75">
      <c r="A589" s="63"/>
      <c r="D589" s="28"/>
    </row>
    <row r="590" spans="1:4" ht="12.75">
      <c r="A590" s="63"/>
      <c r="D590" s="28"/>
    </row>
    <row r="591" spans="1:4" ht="12.75">
      <c r="A591" s="63"/>
      <c r="D591" s="28"/>
    </row>
    <row r="592" spans="1:4" ht="12.75">
      <c r="A592" s="63"/>
      <c r="D592" s="28"/>
    </row>
    <row r="593" spans="1:4" ht="12.75">
      <c r="A593" s="63"/>
      <c r="D593" s="28"/>
    </row>
    <row r="594" spans="1:4" ht="12.75">
      <c r="A594" s="63"/>
      <c r="D594" s="28"/>
    </row>
    <row r="595" spans="1:4" ht="12.75">
      <c r="A595" s="63"/>
      <c r="D595" s="28"/>
    </row>
    <row r="596" spans="1:4" ht="12.75">
      <c r="A596" s="63"/>
      <c r="D596" s="28"/>
    </row>
    <row r="597" spans="1:4" ht="12.75">
      <c r="A597" s="63"/>
      <c r="D597" s="28"/>
    </row>
    <row r="598" spans="1:4" ht="12.75">
      <c r="A598" s="63"/>
      <c r="D598" s="28"/>
    </row>
    <row r="599" spans="1:4" ht="12.75">
      <c r="A599" s="63"/>
      <c r="D599" s="28"/>
    </row>
    <row r="600" spans="1:4" ht="12.75">
      <c r="A600" s="63"/>
      <c r="D600" s="28"/>
    </row>
    <row r="601" spans="1:4" ht="12.75">
      <c r="A601" s="63"/>
      <c r="D601" s="28"/>
    </row>
    <row r="602" spans="1:4" ht="12.75">
      <c r="A602" s="63"/>
      <c r="D602" s="28"/>
    </row>
    <row r="603" spans="1:4" ht="12.75">
      <c r="A603" s="63"/>
      <c r="D603" s="28"/>
    </row>
    <row r="604" spans="1:4" ht="12.75">
      <c r="A604" s="63"/>
      <c r="D604" s="28"/>
    </row>
    <row r="605" spans="1:4" ht="12.75">
      <c r="A605" s="63"/>
      <c r="D605" s="28"/>
    </row>
    <row r="606" spans="1:4" ht="12.75">
      <c r="A606" s="63"/>
      <c r="D606" s="28"/>
    </row>
    <row r="607" spans="1:4" ht="12.75">
      <c r="A607" s="63"/>
      <c r="D607" s="28"/>
    </row>
    <row r="608" spans="1:4" ht="12.75">
      <c r="A608" s="63"/>
      <c r="D608" s="28"/>
    </row>
    <row r="609" spans="1:4" ht="12.75">
      <c r="A609" s="63"/>
      <c r="D609" s="28"/>
    </row>
    <row r="610" spans="1:4" ht="12.75">
      <c r="A610" s="63"/>
      <c r="D610" s="28"/>
    </row>
    <row r="611" spans="1:4" ht="12.75">
      <c r="A611" s="63"/>
      <c r="D611" s="28"/>
    </row>
    <row r="612" spans="1:4" ht="12.75">
      <c r="A612" s="63"/>
      <c r="D612" s="28"/>
    </row>
    <row r="613" spans="1:4" ht="12.75">
      <c r="A613" s="63"/>
      <c r="D613" s="28"/>
    </row>
    <row r="614" spans="1:4" ht="12.75">
      <c r="A614" s="63"/>
      <c r="D614" s="28"/>
    </row>
    <row r="615" spans="1:4" ht="12.75">
      <c r="A615" s="63"/>
      <c r="D615" s="28"/>
    </row>
    <row r="616" spans="1:4" ht="12.75">
      <c r="A616" s="63"/>
      <c r="D616" s="28"/>
    </row>
    <row r="617" spans="1:4" ht="12.75">
      <c r="A617" s="63"/>
      <c r="D617" s="28"/>
    </row>
    <row r="618" spans="1:4" ht="12.75">
      <c r="A618" s="63"/>
      <c r="D618" s="28"/>
    </row>
    <row r="619" spans="1:4" ht="12.75">
      <c r="A619" s="63"/>
      <c r="D619" s="28"/>
    </row>
    <row r="620" spans="1:4" ht="12.75">
      <c r="A620" s="63"/>
      <c r="D620" s="28"/>
    </row>
    <row r="621" spans="1:4" ht="12.75">
      <c r="A621" s="63"/>
      <c r="D621" s="28"/>
    </row>
    <row r="622" spans="1:4" ht="12.75">
      <c r="A622" s="63"/>
      <c r="D622" s="28"/>
    </row>
    <row r="623" spans="1:4" ht="12.75">
      <c r="A623" s="63"/>
      <c r="D623" s="28"/>
    </row>
    <row r="624" spans="1:4" ht="12.75">
      <c r="A624" s="63"/>
      <c r="D624" s="28"/>
    </row>
    <row r="625" spans="1:4" ht="12.75">
      <c r="A625" s="63"/>
      <c r="D625" s="28"/>
    </row>
    <row r="626" spans="1:4" ht="12.75">
      <c r="A626" s="63"/>
      <c r="D626" s="28"/>
    </row>
    <row r="627" spans="1:4" ht="12.75">
      <c r="A627" s="63"/>
      <c r="D627" s="28"/>
    </row>
    <row r="628" spans="1:4" ht="12.75">
      <c r="A628" s="63"/>
      <c r="D628" s="28"/>
    </row>
    <row r="629" spans="1:4" ht="12.75">
      <c r="A629" s="63"/>
      <c r="D629" s="28"/>
    </row>
    <row r="630" spans="1:4" ht="12.75">
      <c r="A630" s="63"/>
      <c r="D630" s="28"/>
    </row>
    <row r="631" spans="1:4" ht="12.75">
      <c r="A631" s="63"/>
      <c r="D631" s="28"/>
    </row>
    <row r="632" spans="1:4" ht="12.75">
      <c r="A632" s="63"/>
      <c r="D632" s="28"/>
    </row>
    <row r="633" spans="1:4" ht="12.75">
      <c r="A633" s="63"/>
      <c r="D633" s="28"/>
    </row>
    <row r="634" spans="1:4" ht="12.75">
      <c r="A634" s="63"/>
      <c r="D634" s="28"/>
    </row>
    <row r="635" spans="1:4" ht="12.75">
      <c r="A635" s="63"/>
      <c r="D635" s="28"/>
    </row>
    <row r="636" spans="1:4" ht="12.75">
      <c r="A636" s="63"/>
      <c r="D636" s="28"/>
    </row>
    <row r="637" spans="1:4" ht="12.75">
      <c r="A637" s="63"/>
      <c r="D637" s="28"/>
    </row>
    <row r="638" spans="1:4" ht="12.75">
      <c r="A638" s="63"/>
      <c r="D638" s="28"/>
    </row>
    <row r="639" spans="1:4" ht="12.75">
      <c r="A639" s="63"/>
      <c r="D639" s="28"/>
    </row>
    <row r="640" spans="1:4" ht="12.75">
      <c r="A640" s="63"/>
      <c r="D640" s="28"/>
    </row>
    <row r="641" spans="1:4" ht="12.75">
      <c r="A641" s="63"/>
      <c r="D641" s="28"/>
    </row>
    <row r="642" spans="1:4" ht="12.75">
      <c r="A642" s="63"/>
      <c r="D642" s="28"/>
    </row>
    <row r="643" spans="1:4" ht="12.75">
      <c r="A643" s="63"/>
      <c r="D643" s="28"/>
    </row>
    <row r="644" spans="1:4" ht="12.75">
      <c r="A644" s="63"/>
      <c r="D644" s="28"/>
    </row>
    <row r="645" spans="1:4" ht="12.75">
      <c r="A645" s="63"/>
      <c r="D645" s="28"/>
    </row>
    <row r="646" spans="1:4" ht="12.75">
      <c r="A646" s="63"/>
      <c r="D646" s="28"/>
    </row>
    <row r="647" spans="1:4" ht="12.75">
      <c r="A647" s="63"/>
      <c r="D647" s="28"/>
    </row>
    <row r="648" spans="1:4" ht="12.75">
      <c r="A648" s="63"/>
      <c r="D648" s="28"/>
    </row>
    <row r="649" spans="1:4" ht="12.75">
      <c r="A649" s="63"/>
      <c r="D649" s="28"/>
    </row>
    <row r="650" spans="1:4" ht="12.75">
      <c r="A650" s="63"/>
      <c r="D650" s="28"/>
    </row>
    <row r="651" spans="1:4" ht="12.75">
      <c r="A651" s="63"/>
      <c r="D651" s="28"/>
    </row>
    <row r="652" spans="1:4" ht="12.75">
      <c r="A652" s="63"/>
      <c r="D652" s="28"/>
    </row>
    <row r="653" spans="1:4" ht="12.75">
      <c r="A653" s="63"/>
      <c r="D653" s="28"/>
    </row>
    <row r="654" spans="1:4" ht="12.75">
      <c r="A654" s="63"/>
      <c r="D654" s="28"/>
    </row>
    <row r="655" spans="1:4" ht="12.75">
      <c r="A655" s="63"/>
      <c r="D655" s="28"/>
    </row>
    <row r="656" spans="1:4" ht="12.75">
      <c r="A656" s="63"/>
      <c r="D656" s="28"/>
    </row>
    <row r="657" spans="1:4" ht="12.75">
      <c r="A657" s="63"/>
      <c r="D657" s="28"/>
    </row>
    <row r="658" spans="1:4" ht="12.75">
      <c r="A658" s="63"/>
      <c r="D658" s="28"/>
    </row>
    <row r="659" spans="1:4" ht="12.75">
      <c r="A659" s="63"/>
      <c r="D659" s="28"/>
    </row>
    <row r="660" spans="1:4" ht="12.75">
      <c r="A660" s="63"/>
      <c r="D660" s="28"/>
    </row>
    <row r="661" spans="1:4" ht="12.75">
      <c r="A661" s="63"/>
      <c r="D661" s="28"/>
    </row>
    <row r="662" spans="1:4" ht="12.75">
      <c r="A662" s="63"/>
      <c r="D662" s="28"/>
    </row>
    <row r="663" spans="1:4" ht="12.75">
      <c r="A663" s="63"/>
      <c r="D663" s="28"/>
    </row>
    <row r="664" spans="1:4" ht="12.75">
      <c r="A664" s="63"/>
      <c r="D664" s="28"/>
    </row>
    <row r="665" spans="1:4" ht="12.75">
      <c r="A665" s="63"/>
      <c r="D665" s="28"/>
    </row>
    <row r="666" spans="1:4" ht="12.75">
      <c r="A666" s="63"/>
      <c r="D666" s="28"/>
    </row>
    <row r="667" spans="1:4" ht="12.75">
      <c r="A667" s="63"/>
      <c r="D667" s="28"/>
    </row>
    <row r="668" spans="1:4" ht="12.75">
      <c r="A668" s="63"/>
      <c r="D668" s="28"/>
    </row>
    <row r="669" spans="1:4" ht="12.75">
      <c r="A669" s="63"/>
      <c r="D669" s="28"/>
    </row>
    <row r="670" spans="1:4" ht="12.75">
      <c r="A670" s="63"/>
      <c r="D670" s="28"/>
    </row>
    <row r="671" spans="1:4" ht="12.75">
      <c r="A671" s="63"/>
      <c r="D671" s="28"/>
    </row>
    <row r="672" spans="1:4" ht="12.75">
      <c r="A672" s="63"/>
      <c r="D672" s="28"/>
    </row>
    <row r="673" spans="1:4" ht="12.75">
      <c r="A673" s="63"/>
      <c r="D673" s="28"/>
    </row>
    <row r="674" spans="1:4" ht="12.75">
      <c r="A674" s="63"/>
      <c r="D674" s="28"/>
    </row>
    <row r="675" spans="1:4" ht="12.75">
      <c r="A675" s="63"/>
      <c r="D675" s="28"/>
    </row>
    <row r="676" spans="1:4" ht="12.75">
      <c r="A676" s="63"/>
      <c r="D676" s="28"/>
    </row>
    <row r="677" spans="1:4" ht="12.75">
      <c r="A677" s="63"/>
      <c r="D677" s="28"/>
    </row>
    <row r="678" spans="1:4" ht="12.75">
      <c r="A678" s="63"/>
      <c r="D678" s="28"/>
    </row>
    <row r="679" spans="1:4" ht="12.75">
      <c r="A679" s="63"/>
      <c r="D679" s="28"/>
    </row>
    <row r="680" spans="1:4" ht="12.75">
      <c r="A680" s="63"/>
      <c r="D680" s="28"/>
    </row>
    <row r="681" spans="1:4" ht="12.75">
      <c r="A681" s="63"/>
      <c r="D681" s="28"/>
    </row>
    <row r="682" spans="1:4" ht="12.75">
      <c r="A682" s="63"/>
      <c r="D682" s="28"/>
    </row>
    <row r="683" spans="1:4" ht="12.75">
      <c r="A683" s="63"/>
      <c r="D683" s="28"/>
    </row>
    <row r="684" spans="1:4" ht="12.75">
      <c r="A684" s="63"/>
      <c r="D684" s="28"/>
    </row>
    <row r="685" spans="1:4" ht="12.75">
      <c r="A685" s="63"/>
      <c r="D685" s="28"/>
    </row>
    <row r="686" spans="1:4" ht="12.75">
      <c r="A686" s="63"/>
      <c r="D686" s="28"/>
    </row>
    <row r="687" spans="1:4" ht="12.75">
      <c r="A687" s="63"/>
      <c r="D687" s="28"/>
    </row>
    <row r="688" spans="1:4" ht="12.75">
      <c r="A688" s="63"/>
      <c r="D688" s="28"/>
    </row>
    <row r="689" spans="1:4" ht="12.75">
      <c r="A689" s="63"/>
      <c r="D689" s="28"/>
    </row>
    <row r="690" spans="1:4" ht="12.75">
      <c r="A690" s="63"/>
      <c r="D690" s="28"/>
    </row>
    <row r="691" spans="1:4" ht="12.75">
      <c r="A691" s="63"/>
      <c r="D691" s="28"/>
    </row>
    <row r="692" spans="1:4" ht="12.75">
      <c r="A692" s="63"/>
      <c r="D692" s="28"/>
    </row>
    <row r="693" spans="1:4" ht="12.75">
      <c r="A693" s="63"/>
      <c r="D693" s="28"/>
    </row>
    <row r="694" spans="1:4" ht="12.75">
      <c r="A694" s="63"/>
      <c r="D694" s="28"/>
    </row>
    <row r="695" spans="1:4" ht="12.75">
      <c r="A695" s="63"/>
      <c r="D695" s="28"/>
    </row>
    <row r="696" spans="1:4" ht="12.75">
      <c r="A696" s="63"/>
      <c r="D696" s="28"/>
    </row>
    <row r="697" spans="1:4" ht="12.75">
      <c r="A697" s="63"/>
      <c r="D697" s="28"/>
    </row>
    <row r="698" spans="1:4" ht="12.75">
      <c r="A698" s="63"/>
      <c r="D698" s="28"/>
    </row>
    <row r="699" spans="1:4" ht="12.75">
      <c r="A699" s="63"/>
      <c r="D699" s="28"/>
    </row>
    <row r="700" spans="1:4" ht="12.75">
      <c r="A700" s="63"/>
      <c r="D700" s="28"/>
    </row>
    <row r="701" spans="1:4" ht="12.75">
      <c r="A701" s="63"/>
      <c r="D701" s="28"/>
    </row>
    <row r="702" spans="1:4" ht="12.75">
      <c r="A702" s="63"/>
      <c r="D702" s="28"/>
    </row>
    <row r="703" spans="1:4" ht="12.75">
      <c r="A703" s="63"/>
      <c r="D703" s="28"/>
    </row>
    <row r="704" spans="1:4" ht="12.75">
      <c r="A704" s="63"/>
      <c r="D704" s="28"/>
    </row>
    <row r="705" spans="1:4" ht="12.75">
      <c r="A705" s="63"/>
      <c r="D705" s="28"/>
    </row>
    <row r="706" spans="1:4" ht="12.75">
      <c r="A706" s="63"/>
      <c r="D706" s="28"/>
    </row>
    <row r="707" spans="1:4" ht="12.75">
      <c r="A707" s="63"/>
      <c r="D707" s="28"/>
    </row>
    <row r="708" spans="1:4" ht="12.75">
      <c r="A708" s="63"/>
      <c r="D708" s="28"/>
    </row>
    <row r="709" spans="1:4" ht="12.75">
      <c r="A709" s="63"/>
      <c r="D709" s="28"/>
    </row>
    <row r="710" spans="1:4" ht="12.75">
      <c r="A710" s="63"/>
      <c r="D710" s="28"/>
    </row>
    <row r="711" spans="1:4" ht="12.75">
      <c r="A711" s="63"/>
      <c r="D711" s="28"/>
    </row>
    <row r="712" spans="1:4" ht="12.75">
      <c r="A712" s="63"/>
      <c r="D712" s="28"/>
    </row>
    <row r="713" spans="1:4" ht="12.75">
      <c r="A713" s="63"/>
      <c r="D713" s="28"/>
    </row>
    <row r="714" spans="1:4" ht="12.75">
      <c r="A714" s="63"/>
      <c r="D714" s="28"/>
    </row>
    <row r="715" spans="1:4" ht="12.75">
      <c r="A715" s="63"/>
      <c r="D715" s="28"/>
    </row>
    <row r="716" spans="1:4" ht="12.75">
      <c r="A716" s="63"/>
      <c r="D716" s="28"/>
    </row>
    <row r="717" spans="1:4" ht="12.75">
      <c r="A717" s="63"/>
      <c r="D717" s="28"/>
    </row>
    <row r="718" spans="1:4" ht="12.75">
      <c r="A718" s="63"/>
      <c r="D718" s="28"/>
    </row>
    <row r="719" spans="1:4" ht="12.75">
      <c r="A719" s="63"/>
      <c r="D719" s="28"/>
    </row>
    <row r="720" spans="1:4" ht="12.75">
      <c r="A720" s="63"/>
      <c r="D720" s="28"/>
    </row>
    <row r="721" spans="1:4" ht="12.75">
      <c r="A721" s="63"/>
      <c r="D721" s="28"/>
    </row>
    <row r="722" spans="1:4" ht="12.75">
      <c r="A722" s="63"/>
      <c r="D722" s="28"/>
    </row>
    <row r="723" spans="1:4" ht="12.75">
      <c r="A723" s="63"/>
      <c r="D723" s="28"/>
    </row>
    <row r="724" spans="1:4" ht="12.75">
      <c r="A724" s="63"/>
      <c r="D724" s="28"/>
    </row>
    <row r="725" spans="1:4" ht="12.75">
      <c r="A725" s="63"/>
      <c r="D725" s="28"/>
    </row>
    <row r="726" spans="1:4" ht="12.75">
      <c r="A726" s="63"/>
      <c r="D726" s="28"/>
    </row>
    <row r="727" spans="1:4" ht="12.75">
      <c r="A727" s="63"/>
      <c r="D727" s="28"/>
    </row>
    <row r="728" spans="1:4" ht="12.75">
      <c r="A728" s="63"/>
      <c r="D728" s="28"/>
    </row>
    <row r="729" spans="1:4" ht="12.75">
      <c r="A729" s="63"/>
      <c r="D729" s="28"/>
    </row>
    <row r="730" spans="1:4" ht="12.75">
      <c r="A730" s="63"/>
      <c r="D730" s="28"/>
    </row>
    <row r="731" spans="1:4" ht="12.75">
      <c r="A731" s="63"/>
      <c r="D731" s="28"/>
    </row>
    <row r="732" spans="1:4" ht="12.75">
      <c r="A732" s="63"/>
      <c r="D732" s="28"/>
    </row>
    <row r="733" spans="1:4" ht="12.75">
      <c r="A733" s="63"/>
      <c r="D733" s="28"/>
    </row>
    <row r="734" spans="1:4" ht="12.75">
      <c r="A734" s="63"/>
      <c r="D734" s="28"/>
    </row>
    <row r="735" spans="1:4" ht="12.75">
      <c r="A735" s="63"/>
      <c r="D735" s="28"/>
    </row>
    <row r="736" spans="1:4" ht="12.75">
      <c r="A736" s="63"/>
      <c r="D736" s="28"/>
    </row>
    <row r="737" spans="1:4" ht="12.75">
      <c r="A737" s="63"/>
      <c r="D737" s="28"/>
    </row>
    <row r="738" spans="1:4" ht="12.75">
      <c r="A738" s="63"/>
      <c r="D738" s="28"/>
    </row>
    <row r="739" spans="1:4" ht="12.75">
      <c r="A739" s="63"/>
      <c r="D739" s="28"/>
    </row>
    <row r="740" spans="1:4" ht="12.75">
      <c r="A740" s="63"/>
      <c r="D740" s="28"/>
    </row>
    <row r="741" spans="1:4" ht="12.75">
      <c r="A741" s="63"/>
      <c r="D741" s="28"/>
    </row>
    <row r="742" spans="1:4" ht="12.75">
      <c r="A742" s="63"/>
      <c r="D742" s="28"/>
    </row>
    <row r="743" spans="1:4" ht="12.75">
      <c r="A743" s="63"/>
      <c r="D743" s="28"/>
    </row>
    <row r="744" spans="1:4" ht="12.75">
      <c r="A744" s="63"/>
      <c r="D744" s="28"/>
    </row>
    <row r="745" spans="1:4" ht="12.75">
      <c r="A745" s="63"/>
      <c r="D745" s="28"/>
    </row>
    <row r="746" spans="1:4" ht="12.75">
      <c r="A746" s="63"/>
      <c r="D746" s="28"/>
    </row>
    <row r="747" spans="1:4" ht="12.75">
      <c r="A747" s="63"/>
      <c r="D747" s="28"/>
    </row>
    <row r="748" spans="1:4" ht="12.75">
      <c r="A748" s="63"/>
      <c r="D748" s="28"/>
    </row>
    <row r="749" spans="1:4" ht="12.75">
      <c r="A749" s="63"/>
      <c r="D749" s="28"/>
    </row>
    <row r="750" spans="1:4" ht="12.75">
      <c r="A750" s="63"/>
      <c r="D750" s="28"/>
    </row>
    <row r="751" spans="1:4" ht="12.75">
      <c r="A751" s="63"/>
      <c r="D751" s="28"/>
    </row>
    <row r="752" spans="1:4" ht="12.75">
      <c r="A752" s="63"/>
      <c r="D752" s="28"/>
    </row>
    <row r="753" spans="1:4" ht="12.75">
      <c r="A753" s="63"/>
      <c r="D753" s="28"/>
    </row>
    <row r="754" spans="1:4" ht="12.75">
      <c r="A754" s="63"/>
      <c r="D754" s="28"/>
    </row>
    <row r="755" spans="1:4" ht="12.75">
      <c r="A755" s="63"/>
      <c r="D755" s="28"/>
    </row>
    <row r="756" spans="1:4" ht="12.75">
      <c r="A756" s="63"/>
      <c r="D756" s="28"/>
    </row>
    <row r="757" spans="1:4" ht="12.75">
      <c r="A757" s="63"/>
      <c r="D757" s="28"/>
    </row>
    <row r="758" spans="1:4" ht="12.75">
      <c r="A758" s="63"/>
      <c r="D758" s="28"/>
    </row>
    <row r="759" spans="1:4" ht="12.75">
      <c r="A759" s="63"/>
      <c r="D759" s="28"/>
    </row>
    <row r="760" spans="1:4" ht="12.75">
      <c r="A760" s="63"/>
      <c r="D760" s="28"/>
    </row>
    <row r="761" spans="1:4" ht="12.75">
      <c r="A761" s="63"/>
      <c r="D761" s="28"/>
    </row>
    <row r="762" spans="1:4" ht="12.75">
      <c r="A762" s="63"/>
      <c r="D762" s="28"/>
    </row>
    <row r="763" spans="1:4" ht="12.75">
      <c r="A763" s="63"/>
      <c r="D763" s="28"/>
    </row>
    <row r="764" spans="1:4" ht="12.75">
      <c r="A764" s="63"/>
      <c r="D764" s="28"/>
    </row>
    <row r="765" spans="1:4" ht="12.75">
      <c r="A765" s="63"/>
      <c r="D765" s="28"/>
    </row>
    <row r="766" spans="1:4" ht="12.75">
      <c r="A766" s="63"/>
      <c r="D766" s="28"/>
    </row>
    <row r="767" spans="1:4" ht="12.75">
      <c r="A767" s="63"/>
      <c r="D767" s="28"/>
    </row>
    <row r="768" spans="1:4" ht="12.75">
      <c r="A768" s="63"/>
      <c r="D768" s="28"/>
    </row>
    <row r="769" spans="1:4" ht="12.75">
      <c r="A769" s="63"/>
      <c r="D769" s="28"/>
    </row>
    <row r="770" spans="1:4" ht="12.75">
      <c r="A770" s="63"/>
      <c r="D770" s="28"/>
    </row>
    <row r="771" spans="1:4" ht="12.75">
      <c r="A771" s="63"/>
      <c r="D771" s="28"/>
    </row>
    <row r="772" spans="1:4" ht="12.75">
      <c r="A772" s="63"/>
      <c r="D772" s="28"/>
    </row>
    <row r="773" spans="1:4" ht="12.75">
      <c r="A773" s="63"/>
      <c r="D773" s="28"/>
    </row>
    <row r="774" spans="1:4" ht="12.75">
      <c r="A774" s="63"/>
      <c r="D774" s="28"/>
    </row>
    <row r="775" spans="1:4" ht="12.75">
      <c r="A775" s="63"/>
      <c r="D775" s="28"/>
    </row>
    <row r="776" spans="1:4" ht="12.75">
      <c r="A776" s="63"/>
      <c r="D776" s="28"/>
    </row>
    <row r="777" spans="1:4" ht="12.75">
      <c r="A777" s="63"/>
      <c r="D777" s="28"/>
    </row>
    <row r="778" spans="1:4" ht="12.75">
      <c r="A778" s="63"/>
      <c r="D778" s="28"/>
    </row>
    <row r="779" spans="1:4" ht="12.75">
      <c r="A779" s="63"/>
      <c r="D779" s="28"/>
    </row>
    <row r="780" spans="1:4" ht="12.75">
      <c r="A780" s="63"/>
      <c r="D780" s="28"/>
    </row>
    <row r="781" spans="1:4" ht="12.75">
      <c r="A781" s="63"/>
      <c r="D781" s="28"/>
    </row>
    <row r="782" spans="1:4" ht="12.75">
      <c r="A782" s="63"/>
      <c r="D782" s="28"/>
    </row>
    <row r="783" spans="1:4" ht="12.75">
      <c r="A783" s="63"/>
      <c r="D783" s="28"/>
    </row>
    <row r="784" spans="1:4" ht="12.75">
      <c r="A784" s="63"/>
      <c r="D784" s="28"/>
    </row>
    <row r="785" spans="1:4" ht="12.75">
      <c r="A785" s="63"/>
      <c r="D785" s="28"/>
    </row>
    <row r="786" spans="1:4" ht="12.75">
      <c r="A786" s="63"/>
      <c r="D786" s="28"/>
    </row>
    <row r="787" spans="1:4" ht="12.75">
      <c r="A787" s="63"/>
      <c r="D787" s="28"/>
    </row>
    <row r="788" spans="1:4" ht="12.75">
      <c r="A788" s="63"/>
      <c r="D788" s="28"/>
    </row>
    <row r="789" spans="1:4" ht="12.75">
      <c r="A789" s="63"/>
      <c r="D789" s="28"/>
    </row>
    <row r="790" spans="1:4" ht="12.75">
      <c r="A790" s="63"/>
      <c r="D790" s="28"/>
    </row>
    <row r="791" spans="1:4" ht="12.75">
      <c r="A791" s="63"/>
      <c r="D791" s="28"/>
    </row>
    <row r="792" spans="1:4" ht="12.75">
      <c r="A792" s="63"/>
      <c r="D792" s="28"/>
    </row>
    <row r="793" spans="1:4" ht="12.75">
      <c r="A793" s="63"/>
      <c r="D793" s="28"/>
    </row>
    <row r="794" spans="1:4" ht="12.75">
      <c r="A794" s="63"/>
      <c r="D794" s="28"/>
    </row>
    <row r="795" spans="1:4" ht="12.75">
      <c r="A795" s="63"/>
      <c r="D795" s="28"/>
    </row>
    <row r="796" spans="1:4" ht="12.75">
      <c r="A796" s="63"/>
      <c r="D796" s="28"/>
    </row>
    <row r="797" spans="1:4" ht="12.75">
      <c r="A797" s="63"/>
      <c r="D797" s="28"/>
    </row>
    <row r="798" spans="1:4" ht="12.75">
      <c r="A798" s="63"/>
      <c r="D798" s="28"/>
    </row>
    <row r="799" spans="1:4" ht="12.75">
      <c r="A799" s="63"/>
      <c r="D799" s="28"/>
    </row>
    <row r="800" spans="1:4" ht="12.75">
      <c r="A800" s="63"/>
      <c r="D800" s="28"/>
    </row>
    <row r="801" spans="1:4" ht="12.75">
      <c r="A801" s="63"/>
      <c r="D801" s="28"/>
    </row>
    <row r="802" spans="1:4" ht="12.75">
      <c r="A802" s="63"/>
      <c r="D802" s="28"/>
    </row>
    <row r="803" spans="1:4" ht="12.75">
      <c r="A803" s="63"/>
      <c r="D803" s="28"/>
    </row>
    <row r="804" spans="1:4" ht="12.75">
      <c r="A804" s="63"/>
      <c r="D804" s="28"/>
    </row>
    <row r="805" spans="1:4" ht="12.75">
      <c r="A805" s="63"/>
      <c r="D805" s="28"/>
    </row>
    <row r="806" spans="1:4" ht="12.75">
      <c r="A806" s="63"/>
      <c r="D806" s="28"/>
    </row>
    <row r="807" spans="1:4" ht="12.75">
      <c r="A807" s="63"/>
      <c r="D807" s="28"/>
    </row>
    <row r="808" spans="1:4" ht="12.75">
      <c r="A808" s="63"/>
      <c r="D808" s="28"/>
    </row>
    <row r="809" spans="1:4" ht="12.75">
      <c r="A809" s="63"/>
      <c r="D809" s="28"/>
    </row>
    <row r="810" spans="1:4" ht="12.75">
      <c r="A810" s="63"/>
      <c r="D810" s="28"/>
    </row>
    <row r="811" spans="1:4" ht="12.75">
      <c r="A811" s="63"/>
      <c r="D811" s="28"/>
    </row>
    <row r="812" spans="1:4" ht="12.75">
      <c r="A812" s="63"/>
      <c r="D812" s="28"/>
    </row>
    <row r="813" spans="1:4" ht="12.75">
      <c r="A813" s="63"/>
      <c r="D813" s="28"/>
    </row>
    <row r="814" spans="1:4" ht="12.75">
      <c r="A814" s="63"/>
      <c r="D814" s="28"/>
    </row>
    <row r="815" spans="1:4" ht="12.75">
      <c r="A815" s="63"/>
      <c r="D815" s="28"/>
    </row>
    <row r="816" spans="1:4" ht="12.75">
      <c r="A816" s="63"/>
      <c r="D816" s="28"/>
    </row>
    <row r="817" spans="1:4" ht="12.75">
      <c r="A817" s="63"/>
      <c r="D817" s="28"/>
    </row>
    <row r="818" spans="1:4" ht="12.75">
      <c r="A818" s="63"/>
      <c r="D818" s="28"/>
    </row>
    <row r="819" spans="1:4" ht="12.75">
      <c r="A819" s="63"/>
      <c r="D819" s="28"/>
    </row>
    <row r="820" spans="1:4" ht="12.75">
      <c r="A820" s="63"/>
      <c r="D820" s="28"/>
    </row>
    <row r="821" spans="1:4" ht="12.75">
      <c r="A821" s="63"/>
      <c r="D821" s="28"/>
    </row>
    <row r="822" spans="1:4" ht="12.75">
      <c r="A822" s="63"/>
      <c r="D822" s="28"/>
    </row>
    <row r="823" spans="1:4" ht="12.75">
      <c r="A823" s="63"/>
      <c r="D823" s="28"/>
    </row>
    <row r="824" spans="1:4" ht="12.75">
      <c r="A824" s="63"/>
      <c r="D824" s="28"/>
    </row>
    <row r="825" spans="1:4" ht="12.75">
      <c r="A825" s="63"/>
      <c r="D825" s="28"/>
    </row>
    <row r="826" spans="1:4" ht="12.75">
      <c r="A826" s="63"/>
      <c r="D826" s="28"/>
    </row>
    <row r="827" spans="1:4" ht="12.75">
      <c r="A827" s="63"/>
      <c r="D827" s="28"/>
    </row>
    <row r="828" spans="1:4" ht="12.75">
      <c r="A828" s="63"/>
      <c r="D828" s="28"/>
    </row>
    <row r="829" spans="1:4" ht="12.75">
      <c r="A829" s="63"/>
      <c r="D829" s="28"/>
    </row>
    <row r="830" spans="1:4" ht="12.75">
      <c r="A830" s="63"/>
      <c r="D830" s="28"/>
    </row>
    <row r="831" spans="1:4" ht="12.75">
      <c r="A831" s="63"/>
      <c r="D831" s="28"/>
    </row>
    <row r="832" spans="1:4" ht="12.75">
      <c r="A832" s="63"/>
      <c r="D832" s="28"/>
    </row>
    <row r="833" spans="1:4" ht="12.75">
      <c r="A833" s="63"/>
      <c r="D833" s="28"/>
    </row>
    <row r="834" spans="1:4" ht="12.75">
      <c r="A834" s="63"/>
      <c r="D834" s="28"/>
    </row>
    <row r="835" spans="1:4" ht="12.75">
      <c r="A835" s="63"/>
      <c r="D835" s="28"/>
    </row>
    <row r="836" spans="1:4" ht="12.75">
      <c r="A836" s="63"/>
      <c r="D836" s="28"/>
    </row>
    <row r="837" spans="1:4" ht="12.75">
      <c r="A837" s="63"/>
      <c r="D837" s="28"/>
    </row>
    <row r="838" spans="1:4" ht="12.75">
      <c r="A838" s="63"/>
      <c r="D838" s="28"/>
    </row>
    <row r="839" spans="1:4" ht="12.75">
      <c r="A839" s="63"/>
      <c r="D839" s="28"/>
    </row>
    <row r="840" spans="1:4" ht="12.75">
      <c r="A840" s="63"/>
      <c r="D840" s="28"/>
    </row>
    <row r="841" spans="1:4" ht="12.75">
      <c r="A841" s="63"/>
      <c r="D841" s="28"/>
    </row>
    <row r="842" spans="1:4" ht="12.75">
      <c r="A842" s="63"/>
      <c r="D842" s="28"/>
    </row>
    <row r="843" spans="1:4" ht="12.75">
      <c r="A843" s="63"/>
      <c r="D843" s="28"/>
    </row>
    <row r="844" spans="1:4" ht="12.75">
      <c r="A844" s="63"/>
      <c r="D844" s="28"/>
    </row>
    <row r="845" spans="1:4" ht="12.75">
      <c r="A845" s="63"/>
      <c r="D845" s="28"/>
    </row>
    <row r="846" spans="1:4" ht="12.75">
      <c r="A846" s="63"/>
      <c r="D846" s="28"/>
    </row>
    <row r="847" spans="1:4" ht="12.75">
      <c r="A847" s="63"/>
      <c r="D847" s="28"/>
    </row>
    <row r="848" spans="1:4" ht="12.75">
      <c r="A848" s="63"/>
      <c r="D848" s="28"/>
    </row>
    <row r="849" spans="1:4" ht="12.75">
      <c r="A849" s="63"/>
      <c r="D849" s="28"/>
    </row>
    <row r="850" spans="1:4" ht="12.75">
      <c r="A850" s="63"/>
      <c r="D850" s="28"/>
    </row>
    <row r="851" spans="1:4" ht="12.75">
      <c r="A851" s="63"/>
      <c r="D851" s="28"/>
    </row>
    <row r="852" spans="1:4" ht="12.75">
      <c r="A852" s="63"/>
      <c r="D852" s="28"/>
    </row>
    <row r="853" spans="1:4" ht="12.75">
      <c r="A853" s="63"/>
      <c r="D853" s="28"/>
    </row>
    <row r="854" spans="1:4" ht="12.75">
      <c r="A854" s="63"/>
      <c r="D854" s="28"/>
    </row>
    <row r="855" spans="1:4" ht="12.75">
      <c r="A855" s="63"/>
      <c r="D855" s="28"/>
    </row>
    <row r="856" spans="1:4" ht="12.75">
      <c r="A856" s="63"/>
      <c r="D856" s="28"/>
    </row>
    <row r="857" spans="1:4" ht="12.75">
      <c r="A857" s="63"/>
      <c r="D857" s="28"/>
    </row>
    <row r="858" spans="1:4" ht="12.75">
      <c r="A858" s="63"/>
      <c r="D858" s="28"/>
    </row>
    <row r="859" spans="1:4" ht="12.75">
      <c r="A859" s="63"/>
      <c r="D859" s="28"/>
    </row>
    <row r="860" spans="1:4" ht="12.75">
      <c r="A860" s="63"/>
      <c r="D860" s="28"/>
    </row>
    <row r="861" spans="1:4" ht="12.75">
      <c r="A861" s="63"/>
      <c r="D861" s="28"/>
    </row>
    <row r="862" spans="1:4" ht="12.75">
      <c r="A862" s="63"/>
      <c r="D862" s="28"/>
    </row>
    <row r="863" spans="1:4" ht="12.75">
      <c r="A863" s="63"/>
      <c r="D863" s="28"/>
    </row>
    <row r="864" spans="1:4" ht="12.75">
      <c r="A864" s="63"/>
      <c r="D864" s="28"/>
    </row>
    <row r="865" spans="1:4" ht="12.75">
      <c r="A865" s="63"/>
      <c r="D865" s="28"/>
    </row>
    <row r="866" spans="1:4" ht="12.75">
      <c r="A866" s="63"/>
      <c r="D866" s="28"/>
    </row>
    <row r="867" spans="1:4" ht="12.75">
      <c r="A867" s="63"/>
      <c r="D867" s="28"/>
    </row>
    <row r="868" spans="1:4" ht="12.75">
      <c r="A868" s="63"/>
      <c r="D868" s="28"/>
    </row>
    <row r="869" spans="1:4" ht="12.75">
      <c r="A869" s="63"/>
      <c r="D869" s="28"/>
    </row>
    <row r="870" spans="1:4" ht="12.75">
      <c r="A870" s="63"/>
      <c r="D870" s="28"/>
    </row>
    <row r="871" spans="1:4" ht="12.75">
      <c r="A871" s="63"/>
      <c r="D871" s="28"/>
    </row>
    <row r="872" spans="1:4" ht="12.75">
      <c r="A872" s="63"/>
      <c r="D872" s="28"/>
    </row>
    <row r="873" spans="1:4" ht="12.75">
      <c r="A873" s="63"/>
      <c r="D873" s="28"/>
    </row>
    <row r="874" spans="1:4" ht="12.75">
      <c r="A874" s="63"/>
      <c r="D874" s="28"/>
    </row>
    <row r="875" spans="1:4" ht="12.75">
      <c r="A875" s="63"/>
      <c r="D875" s="28"/>
    </row>
    <row r="876" spans="1:4" ht="12.75">
      <c r="A876" s="63"/>
      <c r="D876" s="28"/>
    </row>
    <row r="877" spans="1:4" ht="12.75">
      <c r="A877" s="63"/>
      <c r="D877" s="28"/>
    </row>
    <row r="878" spans="1:4" ht="12.75">
      <c r="A878" s="63"/>
      <c r="D878" s="28"/>
    </row>
    <row r="879" spans="1:4" ht="12.75">
      <c r="A879" s="63"/>
      <c r="D879" s="28"/>
    </row>
    <row r="880" spans="1:4" ht="12.75">
      <c r="A880" s="63"/>
      <c r="D880" s="28"/>
    </row>
    <row r="881" spans="1:4" ht="12.75">
      <c r="A881" s="63"/>
      <c r="D881" s="28"/>
    </row>
    <row r="882" spans="1:4" ht="12.75">
      <c r="A882" s="63"/>
      <c r="D882" s="28"/>
    </row>
    <row r="883" spans="1:4" ht="12.75">
      <c r="A883" s="63"/>
      <c r="D883" s="28"/>
    </row>
    <row r="884" spans="1:4" ht="12.75">
      <c r="A884" s="63"/>
      <c r="D884" s="28"/>
    </row>
    <row r="885" spans="1:4" ht="12.75">
      <c r="A885" s="63"/>
      <c r="D885" s="28"/>
    </row>
    <row r="886" spans="1:4" ht="12.75">
      <c r="A886" s="63"/>
      <c r="D886" s="28"/>
    </row>
    <row r="887" spans="1:4" ht="12.75">
      <c r="A887" s="63"/>
      <c r="D887" s="28"/>
    </row>
    <row r="888" spans="1:4" ht="12.75">
      <c r="A888" s="63"/>
      <c r="D888" s="28"/>
    </row>
    <row r="889" spans="1:4" ht="12.75">
      <c r="A889" s="63"/>
      <c r="D889" s="28"/>
    </row>
    <row r="890" spans="1:4" ht="12.75">
      <c r="A890" s="63"/>
      <c r="D890" s="28"/>
    </row>
    <row r="891" spans="1:4" ht="12.75">
      <c r="A891" s="63"/>
      <c r="D891" s="28"/>
    </row>
    <row r="892" spans="1:4" ht="12.75">
      <c r="A892" s="63"/>
      <c r="D892" s="28"/>
    </row>
    <row r="893" spans="1:4" ht="12.75">
      <c r="A893" s="63"/>
      <c r="D893" s="28"/>
    </row>
    <row r="894" spans="1:4" ht="12.75">
      <c r="A894" s="63"/>
      <c r="D894" s="28"/>
    </row>
    <row r="895" spans="1:4" ht="12.75">
      <c r="A895" s="63"/>
      <c r="D895" s="28"/>
    </row>
    <row r="896" spans="1:4" ht="12.75">
      <c r="A896" s="63"/>
      <c r="D896" s="28"/>
    </row>
    <row r="897" spans="1:4" ht="12.75">
      <c r="A897" s="63"/>
      <c r="D897" s="28"/>
    </row>
    <row r="898" spans="1:4" ht="12.75">
      <c r="A898" s="63"/>
      <c r="D898" s="28"/>
    </row>
    <row r="899" spans="1:4" ht="12.75">
      <c r="A899" s="63"/>
      <c r="D899" s="28"/>
    </row>
    <row r="900" spans="1:4" ht="12.75">
      <c r="A900" s="63"/>
      <c r="D900" s="28"/>
    </row>
    <row r="901" spans="1:4" ht="12.75">
      <c r="A901" s="63"/>
      <c r="D901" s="28"/>
    </row>
    <row r="902" spans="1:4" ht="12.75">
      <c r="A902" s="63"/>
      <c r="D902" s="28"/>
    </row>
    <row r="903" spans="1:4" ht="12.75">
      <c r="A903" s="63"/>
      <c r="D903" s="28"/>
    </row>
    <row r="904" spans="1:4" ht="12.75">
      <c r="A904" s="63"/>
      <c r="D904" s="28"/>
    </row>
    <row r="905" spans="1:4" ht="12.75">
      <c r="A905" s="63"/>
      <c r="D905" s="28"/>
    </row>
    <row r="906" spans="1:4" ht="12.75">
      <c r="A906" s="63"/>
      <c r="D906" s="28"/>
    </row>
    <row r="907" spans="1:4" ht="12.75">
      <c r="A907" s="63"/>
      <c r="D907" s="28"/>
    </row>
    <row r="908" spans="1:4" ht="12.75">
      <c r="A908" s="63"/>
      <c r="D908" s="28"/>
    </row>
    <row r="909" spans="1:4" ht="12.75">
      <c r="A909" s="63"/>
      <c r="D909" s="28"/>
    </row>
  </sheetData>
  <phoneticPr fontId="2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59C6FF04-62E8-43BB-B3F1-9E7F316BAAF4}">
          <x14:formula1>
            <xm:f>'Traniees Name &amp; Package'!$B$3:$B$316</xm:f>
          </x14:formula1>
          <xm:sqref>L74:XFD75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5A7739-F63D-4871-B072-A6B98E6A4F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Traniees Name &amp; Package</vt:lpstr>
      <vt:lpstr>June 2026 Memberships</vt:lpstr>
      <vt:lpstr>Off-Ice Attendence</vt:lpstr>
      <vt:lpstr>June 2026 Attendence</vt:lpstr>
      <vt:lpstr>June 2026 Bundles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Esraa Nabil Mahdy</cp:lastModifiedBy>
  <dcterms:created xsi:type="dcterms:W3CDTF">2026-05-01T01:56:23Z</dcterms:created>
  <dcterms:modified xsi:type="dcterms:W3CDTF">2026-07-06T13:42:39Z</dcterms:modified>
</cp:coreProperties>
</file>