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Esraa\FSE\FSE Monthly Report\"/>
    </mc:Choice>
  </mc:AlternateContent>
  <xr:revisionPtr revIDLastSave="0" documentId="13_ncr:1_{30C5ACE6-D085-4678-A5A8-16F2F62E3A9B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8" i="1" l="1"/>
  <c r="I112" i="1"/>
  <c r="I45" i="1"/>
  <c r="A1" i="1" l="1"/>
  <c r="I68" i="1"/>
  <c r="I31" i="1" l="1"/>
</calcChain>
</file>

<file path=xl/sharedStrings.xml><?xml version="1.0" encoding="utf-8"?>
<sst xmlns="http://schemas.openxmlformats.org/spreadsheetml/2006/main" count="419" uniqueCount="131">
  <si>
    <t>Name</t>
  </si>
  <si>
    <t>Bundle Type</t>
  </si>
  <si>
    <t>Date of payment</t>
  </si>
  <si>
    <t xml:space="preserve">Attendance </t>
  </si>
  <si>
    <t xml:space="preserve">Absence </t>
  </si>
  <si>
    <t xml:space="preserve">Remaining </t>
  </si>
  <si>
    <t>Month</t>
  </si>
  <si>
    <t>Coach</t>
  </si>
  <si>
    <t>Amount</t>
  </si>
  <si>
    <t>-</t>
  </si>
  <si>
    <t>No. of sessions</t>
  </si>
  <si>
    <t>Private</t>
  </si>
  <si>
    <t>Bundle 4</t>
  </si>
  <si>
    <t>Bundle 8</t>
  </si>
  <si>
    <t>Basic</t>
  </si>
  <si>
    <t>Total</t>
  </si>
  <si>
    <t>From Last Month</t>
  </si>
  <si>
    <t>Arwa Ahmed Abbas</t>
  </si>
  <si>
    <t>Maryam</t>
  </si>
  <si>
    <t>Eman</t>
  </si>
  <si>
    <t>Nouran Mohsen</t>
  </si>
  <si>
    <t>Esraa</t>
  </si>
  <si>
    <t>Sara Khaled</t>
  </si>
  <si>
    <t>NerminRoushdy</t>
  </si>
  <si>
    <t>Injy Ashraf</t>
  </si>
  <si>
    <t xml:space="preserve">Omar Magdy </t>
  </si>
  <si>
    <t>Fatima Elhawary</t>
  </si>
  <si>
    <t>```</t>
  </si>
  <si>
    <t>Maya stive</t>
  </si>
  <si>
    <t>Bundle 12</t>
  </si>
  <si>
    <t>Yasmine Walid</t>
  </si>
  <si>
    <t>Sara Mohamed Ali</t>
  </si>
  <si>
    <t>Hana Tamer</t>
  </si>
  <si>
    <t>Amal Fawzy</t>
  </si>
  <si>
    <t>Allaa</t>
  </si>
  <si>
    <t>Malak Kattaya</t>
  </si>
  <si>
    <t>Menna Yehia</t>
  </si>
  <si>
    <t>Jumana Ali</t>
  </si>
  <si>
    <t>Yasmina Sherwella</t>
  </si>
  <si>
    <t>Asser Haytham</t>
  </si>
  <si>
    <t>Celine Sameh</t>
  </si>
  <si>
    <t>Salma Osama</t>
  </si>
  <si>
    <t>Karma Amr Saad</t>
  </si>
  <si>
    <t>Nawara Yasser</t>
  </si>
  <si>
    <t>Tia Mohamed</t>
  </si>
  <si>
    <t>Maya Emad</t>
  </si>
  <si>
    <t xml:space="preserve">Joudy Khaled </t>
  </si>
  <si>
    <t>Carol Ehab</t>
  </si>
  <si>
    <t>Nada Mohamed</t>
  </si>
  <si>
    <t>Salma Ali</t>
  </si>
  <si>
    <t>Darine Tamer</t>
  </si>
  <si>
    <t>Fayrouz Tamer</t>
  </si>
  <si>
    <t>Nancy Ahmed</t>
  </si>
  <si>
    <t>Hanan Alaa</t>
  </si>
  <si>
    <t>Somaia Samer</t>
  </si>
  <si>
    <t>Laila Elalfy</t>
  </si>
  <si>
    <t>Kenzy</t>
  </si>
  <si>
    <t>Massa Ahmed</t>
  </si>
  <si>
    <t>Malika Ahmed</t>
  </si>
  <si>
    <t>Rose Mary</t>
  </si>
  <si>
    <t>Joudy george</t>
  </si>
  <si>
    <t>Sama Hussein</t>
  </si>
  <si>
    <t>hajar</t>
  </si>
  <si>
    <t>Lydia Adel</t>
  </si>
  <si>
    <t>Shahd Khaled</t>
  </si>
  <si>
    <t>Lucienda Shady</t>
  </si>
  <si>
    <t>Nour Eldarqawy</t>
  </si>
  <si>
    <t>Ahmed</t>
  </si>
  <si>
    <t>Per Session</t>
  </si>
  <si>
    <t>Anouf Omar</t>
  </si>
  <si>
    <t>Bundle 4-1</t>
  </si>
  <si>
    <t>Habiba Ashraf</t>
  </si>
  <si>
    <t>Angelina Beshoy</t>
  </si>
  <si>
    <t xml:space="preserve">Dana Karim </t>
  </si>
  <si>
    <t xml:space="preserve">Farida Emad </t>
  </si>
  <si>
    <t>Shokran Sameh</t>
  </si>
  <si>
    <t>Hanien Yehia</t>
  </si>
  <si>
    <t>Reem Abdelhamid</t>
  </si>
  <si>
    <t>Arwa sherif</t>
  </si>
  <si>
    <t xml:space="preserve">Jana Emad </t>
  </si>
  <si>
    <t>Farah El semary</t>
  </si>
  <si>
    <t>Hania Hany</t>
  </si>
  <si>
    <t>Anglina Beshoy</t>
  </si>
  <si>
    <t>Rawan Abdel mohsen</t>
  </si>
  <si>
    <t>Alia Naggar</t>
  </si>
  <si>
    <t>Ind. Session</t>
  </si>
  <si>
    <t>Deducted</t>
  </si>
  <si>
    <t xml:space="preserve">Group </t>
  </si>
  <si>
    <t>Bundle 5</t>
  </si>
  <si>
    <t>Youmna wael</t>
  </si>
  <si>
    <t>Nada Wael</t>
  </si>
  <si>
    <t>Shereen Mohamed</t>
  </si>
  <si>
    <t>Mayan</t>
  </si>
  <si>
    <t>Wafaa</t>
  </si>
  <si>
    <t xml:space="preserve">Aisha </t>
  </si>
  <si>
    <t>Group</t>
  </si>
  <si>
    <t>Audition</t>
  </si>
  <si>
    <t>Amany</t>
  </si>
  <si>
    <t>Hajar Abdelwahab</t>
  </si>
  <si>
    <t>angila john</t>
  </si>
  <si>
    <t>Karma Morgan</t>
  </si>
  <si>
    <t>Elina Kamel</t>
  </si>
  <si>
    <t>Rawan Khaled</t>
  </si>
  <si>
    <t>Menna Ayman</t>
  </si>
  <si>
    <t>Farida</t>
  </si>
  <si>
    <t>Per session</t>
  </si>
  <si>
    <t>Dina Ahmed</t>
  </si>
  <si>
    <t>Mostafa Mohamed</t>
  </si>
  <si>
    <t>Bundle 8-2</t>
  </si>
  <si>
    <t>Shahd Hisham</t>
  </si>
  <si>
    <t>Mariam Hashad</t>
  </si>
  <si>
    <t>Hana Karam</t>
  </si>
  <si>
    <t>Farida Emad</t>
  </si>
  <si>
    <t>Michalle Effat</t>
  </si>
  <si>
    <t>Veronia Sameh</t>
  </si>
  <si>
    <t>Bundle 4-2</t>
  </si>
  <si>
    <t>Ind. Sessions 3-6</t>
  </si>
  <si>
    <t>Ind. Sessions 4-6</t>
  </si>
  <si>
    <t>Ind. Sessions 6-6</t>
  </si>
  <si>
    <t>Ind. Sessions 7-6</t>
  </si>
  <si>
    <t>Ind. Sessions 28-6</t>
  </si>
  <si>
    <t>Ind. Sessions 29-6</t>
  </si>
  <si>
    <t>Elina</t>
  </si>
  <si>
    <t>Hanien</t>
  </si>
  <si>
    <t>Farida, Maya, Arwa, Mariam Essam, Menna Mohsen, Hams Hany, Nada Hany, Mai Elfeky</t>
  </si>
  <si>
    <t>Hanien, Reem</t>
  </si>
  <si>
    <t>Nelly Hady, Menna Mohsen, Arwa gabr, Hams, Mai, Mariam, Nada</t>
  </si>
  <si>
    <t>Judy Reda, Nada Mohamed, Salma ali, Roba, Hams, Mai, Nada soliman</t>
  </si>
  <si>
    <t>Joudy Reda</t>
  </si>
  <si>
    <t>Mariam Islam</t>
  </si>
  <si>
    <t>Menna Ashraf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</si>
</sst>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2"/>
      <color theme="1"/>
      <name val="Arial"/>
      <family val="2"/>
      <scheme val="minor"/>
    </font>
    <font>
      <sz val="8"/>
      <name val="Arial"/>
      <family val="2"/>
      <scheme val="minor"/>
    </font>
    <font>
      <b/>
      <sz val="10"/>
      <color theme="1"/>
      <name val="Arial"/>
      <family val="2"/>
      <scheme val="minor"/>
    </font>
    <font>
      <sz val="8"/>
      <color rgb="FF000000"/>
      <name val="Arial"/>
      <family val="2"/>
      <scheme val="minor"/>
    </font>
    <font>
      <sz val="10"/>
      <color rgb="FFFF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8">
    <xf numFmtId="0" fontId="0" fillId="0" borderId="0" xfId="0"/>
    <xf numFmtId="0" fontId="0" fillId="0" borderId="0" xfId="0" applyAlignment="1">
      <alignment horizontal="center" vertical="center"/>
    </xf>
    <xf numFmtId="0" fontId="5" fillId="0" borderId="16" xfId="0" applyFont="1" applyBorder="1"/>
    <xf numFmtId="0" fontId="6" fillId="0" borderId="9" xfId="0" applyFont="1" applyBorder="1" applyAlignment="1">
      <alignment horizontal="right"/>
    </xf>
    <xf numFmtId="0" fontId="0" fillId="0" borderId="0" xfId="0" applyAlignment="1">
      <alignment horizontal="right"/>
    </xf>
    <xf numFmtId="0" fontId="8" fillId="0" borderId="18" xfId="0" applyFont="1" applyBorder="1" applyAlignment="1">
      <alignment horizontal="right" vertical="center"/>
    </xf>
    <xf numFmtId="0" fontId="11" fillId="0" borderId="2" xfId="0" applyFont="1" applyBorder="1"/>
    <xf numFmtId="0" fontId="11" fillId="0" borderId="5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/>
    </xf>
    <xf numFmtId="0" fontId="7" fillId="0" borderId="3" xfId="0" applyFont="1" applyBorder="1" applyAlignment="1">
      <alignment horizontal="right"/>
    </xf>
    <xf numFmtId="0" fontId="11" fillId="0" borderId="4" xfId="0" applyFont="1" applyBorder="1" applyAlignment="1">
      <alignment horizontal="center"/>
    </xf>
    <xf numFmtId="0" fontId="11" fillId="0" borderId="17" xfId="0" applyFont="1" applyBorder="1"/>
    <xf numFmtId="0" fontId="13" fillId="0" borderId="6" xfId="0" applyFont="1" applyBorder="1" applyAlignment="1">
      <alignment vertical="center"/>
    </xf>
    <xf numFmtId="0" fontId="7" fillId="0" borderId="3" xfId="0" applyFont="1" applyBorder="1" applyAlignment="1">
      <alignment horizontal="left"/>
    </xf>
    <xf numFmtId="14" fontId="6" fillId="0" borderId="9" xfId="0" applyNumberFormat="1" applyFont="1" applyBorder="1" applyAlignment="1">
      <alignment horizontal="left"/>
    </xf>
    <xf numFmtId="14" fontId="8" fillId="0" borderId="19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Alignment="1">
      <alignment vertical="center"/>
    </xf>
    <xf numFmtId="0" fontId="12" fillId="0" borderId="2" xfId="0" applyFont="1" applyBorder="1"/>
    <xf numFmtId="0" fontId="13" fillId="0" borderId="2" xfId="0" applyFont="1" applyBorder="1" applyAlignment="1">
      <alignment vertical="center"/>
    </xf>
    <xf numFmtId="0" fontId="15" fillId="0" borderId="3" xfId="0" applyFont="1" applyBorder="1" applyAlignment="1">
      <alignment horizontal="left" vertical="center"/>
    </xf>
    <xf numFmtId="12" fontId="4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20" xfId="0" applyFont="1" applyBorder="1" applyAlignment="1">
      <alignment horizontal="center" wrapText="1"/>
    </xf>
    <xf numFmtId="0" fontId="7" fillId="0" borderId="21" xfId="0" applyFont="1" applyBorder="1" applyAlignment="1">
      <alignment horizontal="center" wrapText="1"/>
    </xf>
    <xf numFmtId="0" fontId="6" fillId="0" borderId="0" xfId="0" applyFont="1"/>
    <xf numFmtId="12" fontId="4" fillId="0" borderId="24" xfId="0" applyNumberFormat="1" applyFont="1" applyBorder="1" applyAlignment="1">
      <alignment horizontal="left" vertical="center"/>
    </xf>
    <xf numFmtId="14" fontId="8" fillId="0" borderId="25" xfId="0" applyNumberFormat="1" applyFont="1" applyBorder="1" applyAlignment="1">
      <alignment horizontal="left"/>
    </xf>
    <xf numFmtId="0" fontId="6" fillId="0" borderId="26" xfId="0" applyFont="1" applyBorder="1" applyAlignment="1">
      <alignment horizontal="right"/>
    </xf>
    <xf numFmtId="0" fontId="5" fillId="0" borderId="27" xfId="0" applyFont="1" applyBorder="1"/>
    <xf numFmtId="0" fontId="9" fillId="0" borderId="29" xfId="0" applyFont="1" applyBorder="1" applyAlignment="1">
      <alignment horizontal="right" vertical="center"/>
    </xf>
    <xf numFmtId="14" fontId="8" fillId="0" borderId="1" xfId="0" applyNumberFormat="1" applyFont="1" applyBorder="1" applyAlignment="1">
      <alignment horizontal="left"/>
    </xf>
    <xf numFmtId="14" fontId="16" fillId="0" borderId="9" xfId="0" applyNumberFormat="1" applyFont="1" applyBorder="1" applyAlignment="1">
      <alignment horizontal="left"/>
    </xf>
    <xf numFmtId="12" fontId="4" fillId="0" borderId="31" xfId="0" applyNumberFormat="1" applyFont="1" applyBorder="1" applyAlignment="1">
      <alignment horizontal="left" vertical="center"/>
    </xf>
    <xf numFmtId="0" fontId="11" fillId="0" borderId="33" xfId="0" applyFont="1" applyBorder="1" applyAlignment="1">
      <alignment vertical="center" wrapText="1"/>
    </xf>
    <xf numFmtId="0" fontId="11" fillId="0" borderId="20" xfId="0" applyFont="1" applyBorder="1" applyAlignment="1">
      <alignment vertical="center" wrapText="1"/>
    </xf>
    <xf numFmtId="0" fontId="6" fillId="0" borderId="34" xfId="0" applyFont="1" applyBorder="1" applyAlignment="1">
      <alignment horizontal="right"/>
    </xf>
    <xf numFmtId="0" fontId="5" fillId="0" borderId="35" xfId="0" applyFont="1" applyBorder="1"/>
    <xf numFmtId="0" fontId="6" fillId="0" borderId="1" xfId="0" applyFont="1" applyBorder="1" applyAlignment="1">
      <alignment horizontal="right"/>
    </xf>
    <xf numFmtId="0" fontId="9" fillId="0" borderId="14" xfId="0" applyFont="1" applyBorder="1" applyAlignment="1">
      <alignment horizontal="right" vertical="center"/>
    </xf>
    <xf numFmtId="0" fontId="5" fillId="0" borderId="36" xfId="0" applyFont="1" applyBorder="1"/>
    <xf numFmtId="0" fontId="11" fillId="0" borderId="37" xfId="0" applyFont="1" applyBorder="1" applyAlignment="1">
      <alignment vertical="center" wrapText="1"/>
    </xf>
    <xf numFmtId="0" fontId="12" fillId="0" borderId="6" xfId="0" applyFont="1" applyBorder="1" applyAlignment="1">
      <alignment vertical="center"/>
    </xf>
    <xf numFmtId="0" fontId="12" fillId="0" borderId="6" xfId="0" applyFont="1" applyBorder="1"/>
    <xf numFmtId="0" fontId="7" fillId="0" borderId="33" xfId="0" applyFont="1" applyBorder="1" applyAlignment="1">
      <alignment horizontal="center" wrapText="1"/>
    </xf>
    <xf numFmtId="0" fontId="8" fillId="0" borderId="1" xfId="0" applyFont="1" applyBorder="1" applyAlignment="1">
      <alignment horizontal="right" vertical="center"/>
    </xf>
    <xf numFmtId="14" fontId="8" fillId="0" borderId="24" xfId="0" applyNumberFormat="1" applyFont="1" applyBorder="1" applyAlignment="1">
      <alignment horizontal="left"/>
    </xf>
    <xf numFmtId="0" fontId="8" fillId="0" borderId="24" xfId="0" applyFont="1" applyBorder="1" applyAlignment="1">
      <alignment horizontal="right" vertical="center"/>
    </xf>
    <xf numFmtId="0" fontId="6" fillId="0" borderId="24" xfId="0" applyFont="1" applyBorder="1" applyAlignment="1">
      <alignment horizontal="right"/>
    </xf>
    <xf numFmtId="0" fontId="5" fillId="0" borderId="38" xfId="0" applyFont="1" applyBorder="1"/>
    <xf numFmtId="0" fontId="11" fillId="0" borderId="21" xfId="0" applyFont="1" applyBorder="1" applyAlignment="1">
      <alignment vertical="center" wrapText="1"/>
    </xf>
    <xf numFmtId="12" fontId="4" fillId="0" borderId="9" xfId="0" applyNumberFormat="1" applyFont="1" applyBorder="1" applyAlignment="1">
      <alignment horizontal="left" vertical="center"/>
    </xf>
    <xf numFmtId="14" fontId="8" fillId="0" borderId="40" xfId="0" applyNumberFormat="1" applyFont="1" applyBorder="1" applyAlignment="1">
      <alignment horizontal="left"/>
    </xf>
    <xf numFmtId="0" fontId="6" fillId="0" borderId="9" xfId="0" quotePrefix="1" applyFont="1" applyBorder="1" applyAlignment="1">
      <alignment horizontal="right"/>
    </xf>
    <xf numFmtId="0" fontId="8" fillId="0" borderId="41" xfId="0" applyFont="1" applyBorder="1" applyAlignment="1">
      <alignment horizontal="right" vertical="center"/>
    </xf>
    <xf numFmtId="0" fontId="9" fillId="0" borderId="1" xfId="0" applyFont="1" applyBorder="1" applyAlignment="1">
      <alignment horizontal="right" vertical="center"/>
    </xf>
    <xf numFmtId="0" fontId="12" fillId="0" borderId="2" xfId="0" applyFont="1" applyBorder="1" applyAlignment="1">
      <alignment horizontal="left" vertical="center"/>
    </xf>
    <xf numFmtId="0" fontId="3" fillId="0" borderId="32" xfId="0" applyFont="1" applyBorder="1"/>
    <xf numFmtId="12" fontId="4" fillId="0" borderId="34" xfId="0" applyNumberFormat="1" applyFont="1" applyBorder="1" applyAlignment="1">
      <alignment horizontal="left" vertical="center"/>
    </xf>
    <xf numFmtId="14" fontId="8" fillId="0" borderId="42" xfId="0" applyNumberFormat="1" applyFont="1" applyBorder="1" applyAlignment="1">
      <alignment horizontal="left"/>
    </xf>
    <xf numFmtId="0" fontId="3" fillId="0" borderId="28" xfId="0" applyFont="1" applyBorder="1"/>
    <xf numFmtId="0" fontId="3" fillId="0" borderId="23" xfId="0" applyFont="1" applyBorder="1"/>
    <xf numFmtId="0" fontId="3" fillId="0" borderId="30" xfId="0" applyFont="1" applyBorder="1"/>
    <xf numFmtId="0" fontId="12" fillId="0" borderId="13" xfId="0" applyFont="1" applyBorder="1" applyAlignment="1">
      <alignment vertical="center"/>
    </xf>
    <xf numFmtId="0" fontId="11" fillId="0" borderId="33" xfId="0" applyFont="1" applyBorder="1" applyAlignment="1">
      <alignment horizontal="center" wrapText="1"/>
    </xf>
    <xf numFmtId="0" fontId="11" fillId="0" borderId="20" xfId="0" applyFont="1" applyBorder="1" applyAlignment="1">
      <alignment horizontal="center" wrapText="1"/>
    </xf>
    <xf numFmtId="0" fontId="11" fillId="0" borderId="44" xfId="0" applyFont="1" applyBorder="1" applyAlignment="1">
      <alignment horizontal="center" wrapText="1"/>
    </xf>
    <xf numFmtId="0" fontId="11" fillId="0" borderId="21" xfId="0" applyFont="1" applyBorder="1" applyAlignment="1">
      <alignment horizontal="center" wrapText="1"/>
    </xf>
    <xf numFmtId="0" fontId="3" fillId="0" borderId="43" xfId="0" applyFont="1" applyBorder="1"/>
    <xf numFmtId="0" fontId="3" fillId="0" borderId="39" xfId="0" applyFont="1" applyBorder="1"/>
    <xf numFmtId="0" fontId="7" fillId="0" borderId="45" xfId="0" applyFont="1" applyBorder="1" applyAlignment="1">
      <alignment vertical="center"/>
    </xf>
    <xf numFmtId="12" fontId="17" fillId="0" borderId="1" xfId="0" applyNumberFormat="1" applyFont="1" applyBorder="1" applyAlignment="1">
      <alignment horizontal="left" vertical="center"/>
    </xf>
    <xf numFmtId="12" fontId="17" fillId="0" borderId="9" xfId="0" applyNumberFormat="1" applyFont="1" applyBorder="1" applyAlignment="1">
      <alignment horizontal="left" vertical="center"/>
    </xf>
    <xf numFmtId="0" fontId="2" fillId="0" borderId="43" xfId="0" applyFont="1" applyBorder="1"/>
    <xf numFmtId="0" fontId="2" fillId="0" borderId="32" xfId="0" applyFont="1" applyBorder="1"/>
    <xf numFmtId="0" fontId="0" fillId="2" borderId="7" xfId="0" applyFill="1" applyBorder="1" applyAlignment="1">
      <alignment horizontal="center" vertical="center"/>
    </xf>
    <xf numFmtId="17" fontId="11" fillId="0" borderId="3" xfId="0" applyNumberFormat="1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5" fillId="2" borderId="22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5" fillId="0" borderId="10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1" fillId="0" borderId="3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41"/>
  <sheetViews>
    <sheetView tabSelected="1" topLeftCell="A100" zoomScale="70" zoomScaleNormal="70" workbookViewId="0">
      <selection activeCell="C109" sqref="C109"/>
    </sheetView>
  </sheetViews>
  <sheetFormatPr defaultColWidth="12.5703125" defaultRowHeight="15.75" customHeight="1" x14ac:dyDescent="0.2"/>
  <cols>
    <col min="1" max="1" width="10" style="1" customWidth="1"/>
    <col min="2" max="2" width="30.140625" style="18" customWidth="1"/>
    <col min="3" max="3" width="16.42578125" customWidth="1"/>
    <col min="4" max="4" width="16.42578125" style="23" customWidth="1"/>
    <col min="5" max="5" width="26.85546875" style="17" customWidth="1"/>
    <col min="6" max="6" width="12.7109375" style="4" customWidth="1"/>
    <col min="7" max="7" width="11.85546875" style="4" customWidth="1"/>
    <col min="8" max="8" width="12.7109375" style="4" customWidth="1"/>
    <col min="10" max="10" width="10.28515625" customWidth="1"/>
  </cols>
  <sheetData>
    <row r="1" spans="1:9" ht="15.75" customHeight="1" thickBot="1" x14ac:dyDescent="0.25">
      <c r="A1" s="76">
        <f>+F15</f>
        <v>3</v>
      </c>
      <c r="B1" s="76"/>
      <c r="C1" s="76"/>
      <c r="D1" s="76"/>
      <c r="E1" s="76"/>
      <c r="F1" s="76"/>
      <c r="G1" s="76"/>
      <c r="H1" s="76"/>
      <c r="I1" s="76"/>
    </row>
    <row r="2" spans="1:9" ht="15.75" customHeight="1" thickBot="1" x14ac:dyDescent="0.3">
      <c r="A2" s="7" t="s">
        <v>6</v>
      </c>
      <c r="B2" s="77">
        <v>46174</v>
      </c>
      <c r="C2" s="78"/>
      <c r="D2" s="78"/>
      <c r="E2" s="78"/>
      <c r="F2" s="78"/>
      <c r="G2" s="78"/>
      <c r="H2" s="78"/>
      <c r="I2" s="79"/>
    </row>
    <row r="3" spans="1:9" thickBot="1" x14ac:dyDescent="0.3">
      <c r="A3" s="8" t="s">
        <v>7</v>
      </c>
      <c r="B3" s="71" t="s">
        <v>0</v>
      </c>
      <c r="C3" s="9" t="s">
        <v>1</v>
      </c>
      <c r="D3" s="21" t="s">
        <v>10</v>
      </c>
      <c r="E3" s="14" t="s">
        <v>2</v>
      </c>
      <c r="F3" s="10" t="s">
        <v>3</v>
      </c>
      <c r="G3" s="10" t="s">
        <v>4</v>
      </c>
      <c r="H3" s="10" t="s">
        <v>5</v>
      </c>
      <c r="I3" s="11" t="s">
        <v>8</v>
      </c>
    </row>
    <row r="4" spans="1:9" ht="15" x14ac:dyDescent="0.25">
      <c r="A4" s="98" t="s">
        <v>21</v>
      </c>
      <c r="B4" s="65" t="s">
        <v>53</v>
      </c>
      <c r="C4" s="58" t="s">
        <v>95</v>
      </c>
      <c r="D4" s="22" t="s">
        <v>13</v>
      </c>
      <c r="E4" s="33"/>
      <c r="F4" s="5">
        <v>8</v>
      </c>
      <c r="G4" s="3">
        <v>0</v>
      </c>
      <c r="H4" s="3">
        <v>0</v>
      </c>
      <c r="I4" s="2">
        <v>1600</v>
      </c>
    </row>
    <row r="5" spans="1:9" ht="15" x14ac:dyDescent="0.25">
      <c r="A5" s="99"/>
      <c r="B5" s="66" t="s">
        <v>35</v>
      </c>
      <c r="C5" s="58" t="s">
        <v>95</v>
      </c>
      <c r="D5" s="22" t="s">
        <v>13</v>
      </c>
      <c r="E5" s="33"/>
      <c r="F5" s="5">
        <v>6</v>
      </c>
      <c r="G5" s="3">
        <v>0</v>
      </c>
      <c r="H5" s="3">
        <v>2</v>
      </c>
      <c r="I5" s="2">
        <v>1600</v>
      </c>
    </row>
    <row r="6" spans="1:9" ht="15" x14ac:dyDescent="0.25">
      <c r="A6" s="99"/>
      <c r="B6" s="66" t="s">
        <v>36</v>
      </c>
      <c r="C6" s="58" t="s">
        <v>95</v>
      </c>
      <c r="D6" s="22" t="s">
        <v>13</v>
      </c>
      <c r="E6" s="33"/>
      <c r="F6" s="5">
        <v>6</v>
      </c>
      <c r="G6" s="3">
        <v>0</v>
      </c>
      <c r="H6" s="3">
        <v>2</v>
      </c>
      <c r="I6" s="2">
        <v>1600</v>
      </c>
    </row>
    <row r="7" spans="1:9" ht="15" x14ac:dyDescent="0.25">
      <c r="A7" s="99"/>
      <c r="B7" s="66" t="s">
        <v>38</v>
      </c>
      <c r="C7" s="58" t="s">
        <v>95</v>
      </c>
      <c r="D7" s="22" t="s">
        <v>13</v>
      </c>
      <c r="E7" s="33"/>
      <c r="F7" s="5">
        <v>6</v>
      </c>
      <c r="G7" s="3">
        <v>0</v>
      </c>
      <c r="H7" s="3">
        <v>2</v>
      </c>
      <c r="I7" s="2">
        <v>1600</v>
      </c>
    </row>
    <row r="8" spans="1:9" ht="15" x14ac:dyDescent="0.25">
      <c r="A8" s="99"/>
      <c r="B8" s="66" t="s">
        <v>52</v>
      </c>
      <c r="C8" s="58" t="s">
        <v>95</v>
      </c>
      <c r="D8" s="22" t="s">
        <v>13</v>
      </c>
      <c r="E8" s="33"/>
      <c r="F8" s="5">
        <v>8</v>
      </c>
      <c r="G8" s="3">
        <v>0</v>
      </c>
      <c r="H8" s="3">
        <v>0</v>
      </c>
      <c r="I8" s="2">
        <v>1600</v>
      </c>
    </row>
    <row r="9" spans="1:9" ht="15" x14ac:dyDescent="0.25">
      <c r="A9" s="99"/>
      <c r="B9" s="66" t="s">
        <v>107</v>
      </c>
      <c r="C9" s="58" t="s">
        <v>95</v>
      </c>
      <c r="D9" s="22" t="s">
        <v>108</v>
      </c>
      <c r="E9" s="33"/>
      <c r="F9" s="5">
        <v>6</v>
      </c>
      <c r="G9" s="3">
        <v>0</v>
      </c>
      <c r="H9" s="3">
        <v>0</v>
      </c>
      <c r="I9" s="2">
        <v>1200</v>
      </c>
    </row>
    <row r="10" spans="1:9" ht="15" x14ac:dyDescent="0.25">
      <c r="A10" s="99"/>
      <c r="B10" s="66" t="s">
        <v>75</v>
      </c>
      <c r="C10" s="58" t="s">
        <v>95</v>
      </c>
      <c r="D10" s="22" t="s">
        <v>108</v>
      </c>
      <c r="E10" s="33"/>
      <c r="F10" s="5">
        <v>6</v>
      </c>
      <c r="G10" s="3">
        <v>0</v>
      </c>
      <c r="H10" s="3">
        <v>0</v>
      </c>
      <c r="I10" s="2">
        <v>1200</v>
      </c>
    </row>
    <row r="11" spans="1:9" ht="15" x14ac:dyDescent="0.25">
      <c r="A11" s="99"/>
      <c r="B11" s="66" t="s">
        <v>75</v>
      </c>
      <c r="C11" s="58" t="s">
        <v>95</v>
      </c>
      <c r="D11" s="22" t="s">
        <v>68</v>
      </c>
      <c r="E11" s="33"/>
      <c r="F11" s="5">
        <v>2</v>
      </c>
      <c r="G11" s="3" t="s">
        <v>9</v>
      </c>
      <c r="H11" s="3" t="s">
        <v>9</v>
      </c>
      <c r="I11" s="2">
        <v>500</v>
      </c>
    </row>
    <row r="12" spans="1:9" ht="15" x14ac:dyDescent="0.25">
      <c r="A12" s="99"/>
      <c r="B12" s="66" t="s">
        <v>109</v>
      </c>
      <c r="C12" s="58" t="s">
        <v>95</v>
      </c>
      <c r="D12" s="22" t="s">
        <v>12</v>
      </c>
      <c r="E12" s="33"/>
      <c r="F12" s="5">
        <v>3</v>
      </c>
      <c r="G12" s="3">
        <v>1</v>
      </c>
      <c r="H12" s="3">
        <v>0</v>
      </c>
      <c r="I12" s="2">
        <v>900</v>
      </c>
    </row>
    <row r="13" spans="1:9" ht="15" x14ac:dyDescent="0.25">
      <c r="A13" s="99"/>
      <c r="B13" s="66" t="s">
        <v>37</v>
      </c>
      <c r="C13" s="58" t="s">
        <v>95</v>
      </c>
      <c r="D13" s="22" t="s">
        <v>12</v>
      </c>
      <c r="E13" s="33"/>
      <c r="F13" s="5">
        <v>4</v>
      </c>
      <c r="G13" s="3">
        <v>0</v>
      </c>
      <c r="H13" s="3">
        <v>0</v>
      </c>
      <c r="I13" s="2">
        <v>900</v>
      </c>
    </row>
    <row r="14" spans="1:9" ht="15" x14ac:dyDescent="0.25">
      <c r="A14" s="99"/>
      <c r="B14" s="66" t="s">
        <v>22</v>
      </c>
      <c r="C14" s="58" t="s">
        <v>95</v>
      </c>
      <c r="D14" s="22" t="s">
        <v>12</v>
      </c>
      <c r="E14" s="33"/>
      <c r="F14" s="5">
        <v>4</v>
      </c>
      <c r="G14" s="3">
        <v>0</v>
      </c>
      <c r="H14" s="3">
        <v>0</v>
      </c>
      <c r="I14" s="2">
        <v>900</v>
      </c>
    </row>
    <row r="15" spans="1:9" ht="15" x14ac:dyDescent="0.25">
      <c r="A15" s="99"/>
      <c r="B15" s="66" t="s">
        <v>110</v>
      </c>
      <c r="C15" s="58" t="s">
        <v>95</v>
      </c>
      <c r="D15" s="22" t="s">
        <v>12</v>
      </c>
      <c r="E15" s="33"/>
      <c r="F15" s="5">
        <v>3</v>
      </c>
      <c r="G15" s="3">
        <v>0</v>
      </c>
      <c r="H15" s="3">
        <v>1</v>
      </c>
      <c r="I15" s="2">
        <v>900</v>
      </c>
    </row>
    <row r="16" spans="1:9" ht="15" x14ac:dyDescent="0.25">
      <c r="A16" s="99"/>
      <c r="B16" s="66" t="s">
        <v>111</v>
      </c>
      <c r="C16" s="58" t="s">
        <v>95</v>
      </c>
      <c r="D16" s="22" t="s">
        <v>115</v>
      </c>
      <c r="E16" s="33"/>
      <c r="F16" s="5">
        <v>3</v>
      </c>
      <c r="G16" s="3">
        <v>0</v>
      </c>
      <c r="H16" s="3">
        <v>0</v>
      </c>
      <c r="I16" s="2">
        <v>500</v>
      </c>
    </row>
    <row r="17" spans="1:9" ht="15" x14ac:dyDescent="0.25">
      <c r="A17" s="99"/>
      <c r="B17" s="66" t="s">
        <v>112</v>
      </c>
      <c r="C17" s="58" t="s">
        <v>95</v>
      </c>
      <c r="D17" s="22" t="s">
        <v>70</v>
      </c>
      <c r="E17" s="33"/>
      <c r="F17" s="5">
        <v>3</v>
      </c>
      <c r="G17" s="3">
        <v>0</v>
      </c>
      <c r="H17" s="3">
        <v>0</v>
      </c>
      <c r="I17" s="2">
        <v>700</v>
      </c>
    </row>
    <row r="18" spans="1:9" ht="15" x14ac:dyDescent="0.25">
      <c r="A18" s="99"/>
      <c r="B18" s="66" t="s">
        <v>54</v>
      </c>
      <c r="C18" s="58" t="s">
        <v>95</v>
      </c>
      <c r="D18" s="22" t="s">
        <v>68</v>
      </c>
      <c r="E18" s="33"/>
      <c r="F18" s="5">
        <v>3</v>
      </c>
      <c r="G18" s="3" t="s">
        <v>9</v>
      </c>
      <c r="H18" s="3" t="s">
        <v>9</v>
      </c>
      <c r="I18" s="2">
        <v>750</v>
      </c>
    </row>
    <row r="19" spans="1:9" ht="15" x14ac:dyDescent="0.25">
      <c r="A19" s="99"/>
      <c r="B19" s="66" t="s">
        <v>113</v>
      </c>
      <c r="C19" s="58" t="s">
        <v>95</v>
      </c>
      <c r="D19" s="22" t="s">
        <v>68</v>
      </c>
      <c r="E19" s="33"/>
      <c r="F19" s="5">
        <v>2</v>
      </c>
      <c r="G19" s="3" t="s">
        <v>9</v>
      </c>
      <c r="H19" s="3" t="s">
        <v>9</v>
      </c>
      <c r="I19" s="2">
        <v>500</v>
      </c>
    </row>
    <row r="20" spans="1:9" ht="15" x14ac:dyDescent="0.25">
      <c r="A20" s="99"/>
      <c r="B20" s="66" t="s">
        <v>114</v>
      </c>
      <c r="C20" s="58" t="s">
        <v>11</v>
      </c>
      <c r="D20" s="22" t="s">
        <v>68</v>
      </c>
      <c r="E20" s="33"/>
      <c r="F20" s="5">
        <v>1</v>
      </c>
      <c r="G20" s="3" t="s">
        <v>9</v>
      </c>
      <c r="H20" s="3" t="s">
        <v>9</v>
      </c>
      <c r="I20" s="2">
        <v>400</v>
      </c>
    </row>
    <row r="21" spans="1:9" ht="15" x14ac:dyDescent="0.25">
      <c r="A21" s="99"/>
      <c r="B21" s="66" t="s">
        <v>114</v>
      </c>
      <c r="C21" s="58" t="s">
        <v>95</v>
      </c>
      <c r="D21" s="22" t="s">
        <v>68</v>
      </c>
      <c r="E21" s="33"/>
      <c r="F21" s="5">
        <v>3</v>
      </c>
      <c r="G21" s="3" t="s">
        <v>9</v>
      </c>
      <c r="H21" s="3" t="s">
        <v>9</v>
      </c>
      <c r="I21" s="2">
        <v>750</v>
      </c>
    </row>
    <row r="22" spans="1:9" ht="15" x14ac:dyDescent="0.25">
      <c r="A22" s="99"/>
      <c r="B22" s="66" t="s">
        <v>72</v>
      </c>
      <c r="C22" s="75" t="s">
        <v>19</v>
      </c>
      <c r="D22" s="22" t="s">
        <v>68</v>
      </c>
      <c r="E22" s="33"/>
      <c r="F22" s="5">
        <v>1</v>
      </c>
      <c r="G22" s="3" t="s">
        <v>9</v>
      </c>
      <c r="H22" s="3" t="s">
        <v>9</v>
      </c>
      <c r="I22" s="2">
        <v>250</v>
      </c>
    </row>
    <row r="23" spans="1:9" ht="15" x14ac:dyDescent="0.25">
      <c r="A23" s="99"/>
      <c r="B23" s="66" t="s">
        <v>116</v>
      </c>
      <c r="C23" s="58" t="s">
        <v>67</v>
      </c>
      <c r="D23" s="22" t="s">
        <v>85</v>
      </c>
      <c r="E23" s="33" t="s">
        <v>124</v>
      </c>
      <c r="F23" s="5">
        <v>8</v>
      </c>
      <c r="G23" s="3" t="s">
        <v>9</v>
      </c>
      <c r="H23" s="3" t="s">
        <v>9</v>
      </c>
      <c r="I23" s="2">
        <v>1600</v>
      </c>
    </row>
    <row r="24" spans="1:9" ht="15" x14ac:dyDescent="0.25">
      <c r="A24" s="99"/>
      <c r="B24" s="66" t="s">
        <v>117</v>
      </c>
      <c r="C24" s="58" t="s">
        <v>67</v>
      </c>
      <c r="D24" s="22" t="s">
        <v>85</v>
      </c>
      <c r="E24" s="33" t="s">
        <v>125</v>
      </c>
      <c r="F24" s="5">
        <v>2</v>
      </c>
      <c r="G24" s="3" t="s">
        <v>9</v>
      </c>
      <c r="H24" s="3" t="s">
        <v>9</v>
      </c>
      <c r="I24" s="2">
        <v>400</v>
      </c>
    </row>
    <row r="25" spans="1:9" ht="15" x14ac:dyDescent="0.25">
      <c r="A25" s="99"/>
      <c r="B25" s="66" t="s">
        <v>118</v>
      </c>
      <c r="C25" s="58" t="s">
        <v>67</v>
      </c>
      <c r="D25" s="22" t="s">
        <v>85</v>
      </c>
      <c r="E25" s="33" t="s">
        <v>126</v>
      </c>
      <c r="F25" s="5">
        <v>7</v>
      </c>
      <c r="G25" s="54" t="s">
        <v>9</v>
      </c>
      <c r="H25" s="3" t="s">
        <v>9</v>
      </c>
      <c r="I25" s="2">
        <v>1400</v>
      </c>
    </row>
    <row r="26" spans="1:9" ht="15" x14ac:dyDescent="0.25">
      <c r="A26" s="99"/>
      <c r="B26" s="66" t="s">
        <v>119</v>
      </c>
      <c r="C26" s="58" t="s">
        <v>67</v>
      </c>
      <c r="D26" s="22" t="s">
        <v>85</v>
      </c>
      <c r="E26" s="33" t="s">
        <v>123</v>
      </c>
      <c r="F26" s="5">
        <v>1</v>
      </c>
      <c r="G26" s="54" t="s">
        <v>9</v>
      </c>
      <c r="H26" s="3" t="s">
        <v>9</v>
      </c>
      <c r="I26" s="2">
        <v>200</v>
      </c>
    </row>
    <row r="27" spans="1:9" ht="15" x14ac:dyDescent="0.25">
      <c r="A27" s="99"/>
      <c r="B27" s="66" t="s">
        <v>120</v>
      </c>
      <c r="C27" s="58" t="s">
        <v>67</v>
      </c>
      <c r="D27" s="22" t="s">
        <v>85</v>
      </c>
      <c r="E27" s="33" t="s">
        <v>122</v>
      </c>
      <c r="F27" s="5">
        <v>1</v>
      </c>
      <c r="G27" s="54" t="s">
        <v>9</v>
      </c>
      <c r="H27" s="3" t="s">
        <v>9</v>
      </c>
      <c r="I27" s="2">
        <v>200</v>
      </c>
    </row>
    <row r="28" spans="1:9" thickBot="1" x14ac:dyDescent="0.3">
      <c r="A28" s="99"/>
      <c r="B28" s="66" t="s">
        <v>121</v>
      </c>
      <c r="C28" s="58" t="s">
        <v>67</v>
      </c>
      <c r="D28" s="22" t="s">
        <v>85</v>
      </c>
      <c r="E28" s="33" t="s">
        <v>127</v>
      </c>
      <c r="F28" s="5">
        <v>7</v>
      </c>
      <c r="G28" s="3" t="s">
        <v>9</v>
      </c>
      <c r="H28" s="3" t="s">
        <v>9</v>
      </c>
      <c r="I28" s="2">
        <v>1400</v>
      </c>
    </row>
    <row r="29" spans="1:9" ht="16.5" customHeight="1" thickBot="1" x14ac:dyDescent="0.3">
      <c r="A29" s="99"/>
      <c r="B29" s="13" t="s">
        <v>16</v>
      </c>
      <c r="C29" s="80"/>
      <c r="D29" s="81"/>
      <c r="E29" s="81"/>
      <c r="F29" s="81"/>
      <c r="G29" s="81"/>
      <c r="H29" s="82"/>
      <c r="I29" s="6">
        <v>-6300</v>
      </c>
    </row>
    <row r="30" spans="1:9" ht="16.5" thickBot="1" x14ac:dyDescent="0.3">
      <c r="A30" s="99"/>
      <c r="B30" s="20" t="s">
        <v>14</v>
      </c>
      <c r="C30" s="80"/>
      <c r="D30" s="81"/>
      <c r="E30" s="81"/>
      <c r="F30" s="81"/>
      <c r="G30" s="81"/>
      <c r="H30" s="82"/>
      <c r="I30" s="6">
        <v>4000</v>
      </c>
    </row>
    <row r="31" spans="1:9" ht="16.5" thickBot="1" x14ac:dyDescent="0.3">
      <c r="A31" s="100"/>
      <c r="B31" s="13" t="s">
        <v>15</v>
      </c>
      <c r="C31" s="92"/>
      <c r="D31" s="93"/>
      <c r="E31" s="93"/>
      <c r="F31" s="93"/>
      <c r="G31" s="93"/>
      <c r="H31" s="94"/>
      <c r="I31" s="12">
        <f>SUM(I4:I30)</f>
        <v>21250</v>
      </c>
    </row>
    <row r="32" spans="1:9" ht="13.5" thickBot="1" x14ac:dyDescent="0.25">
      <c r="A32" s="89"/>
      <c r="B32" s="84"/>
      <c r="C32" s="90"/>
      <c r="D32" s="90"/>
      <c r="E32" s="90"/>
      <c r="F32" s="90"/>
      <c r="G32" s="90"/>
      <c r="H32" s="90"/>
      <c r="I32" s="91"/>
    </row>
    <row r="33" spans="1:9" ht="15" x14ac:dyDescent="0.25">
      <c r="A33" s="95"/>
      <c r="B33" s="65" t="s">
        <v>89</v>
      </c>
      <c r="C33" s="58" t="s">
        <v>95</v>
      </c>
      <c r="D33" s="22" t="s">
        <v>12</v>
      </c>
      <c r="E33" s="15"/>
      <c r="F33" s="5">
        <v>4</v>
      </c>
      <c r="G33" s="3">
        <v>0</v>
      </c>
      <c r="H33" s="3">
        <v>0</v>
      </c>
      <c r="I33" s="2">
        <v>-900</v>
      </c>
    </row>
    <row r="34" spans="1:9" ht="15" x14ac:dyDescent="0.25">
      <c r="A34" s="95"/>
      <c r="B34" s="66" t="s">
        <v>90</v>
      </c>
      <c r="C34" s="58" t="s">
        <v>95</v>
      </c>
      <c r="D34" s="22" t="s">
        <v>12</v>
      </c>
      <c r="E34" s="15"/>
      <c r="F34" s="5">
        <v>4</v>
      </c>
      <c r="G34" s="3">
        <v>0</v>
      </c>
      <c r="H34" s="3">
        <v>0</v>
      </c>
      <c r="I34" s="2">
        <v>-900</v>
      </c>
    </row>
    <row r="35" spans="1:9" ht="15" x14ac:dyDescent="0.25">
      <c r="A35" s="95"/>
      <c r="B35" s="66" t="s">
        <v>17</v>
      </c>
      <c r="C35" s="58" t="s">
        <v>95</v>
      </c>
      <c r="D35" s="22" t="s">
        <v>12</v>
      </c>
      <c r="E35" s="15"/>
      <c r="F35" s="5">
        <v>4</v>
      </c>
      <c r="G35" s="3">
        <v>0</v>
      </c>
      <c r="H35" s="3">
        <v>0</v>
      </c>
      <c r="I35" s="2">
        <v>900</v>
      </c>
    </row>
    <row r="36" spans="1:9" ht="15" x14ac:dyDescent="0.25">
      <c r="A36" s="95"/>
      <c r="B36" s="66" t="s">
        <v>28</v>
      </c>
      <c r="C36" s="58" t="s">
        <v>95</v>
      </c>
      <c r="D36" s="22" t="s">
        <v>12</v>
      </c>
      <c r="E36" s="15"/>
      <c r="F36" s="5">
        <v>4</v>
      </c>
      <c r="G36" s="3">
        <v>0</v>
      </c>
      <c r="H36" s="3">
        <v>0</v>
      </c>
      <c r="I36" s="2">
        <v>900</v>
      </c>
    </row>
    <row r="37" spans="1:9" ht="15" x14ac:dyDescent="0.25">
      <c r="A37" s="95"/>
      <c r="B37" s="66" t="s">
        <v>55</v>
      </c>
      <c r="C37" s="58" t="s">
        <v>95</v>
      </c>
      <c r="D37" s="22" t="s">
        <v>68</v>
      </c>
      <c r="E37" s="15"/>
      <c r="F37" s="5">
        <v>1</v>
      </c>
      <c r="G37" s="3" t="s">
        <v>9</v>
      </c>
      <c r="H37" s="3" t="s">
        <v>9</v>
      </c>
      <c r="I37" s="2">
        <v>250</v>
      </c>
    </row>
    <row r="38" spans="1:9" ht="15.75" customHeight="1" x14ac:dyDescent="0.25">
      <c r="A38" s="95"/>
      <c r="B38" s="66" t="s">
        <v>23</v>
      </c>
      <c r="C38" s="58" t="s">
        <v>95</v>
      </c>
      <c r="D38" s="22" t="s">
        <v>12</v>
      </c>
      <c r="E38" s="15"/>
      <c r="F38" s="5">
        <v>3</v>
      </c>
      <c r="G38" s="3">
        <v>0</v>
      </c>
      <c r="H38" s="3">
        <v>1</v>
      </c>
      <c r="I38" s="2">
        <v>900</v>
      </c>
    </row>
    <row r="39" spans="1:9" ht="15.75" customHeight="1" x14ac:dyDescent="0.25">
      <c r="A39" s="95"/>
      <c r="B39" s="68" t="s">
        <v>128</v>
      </c>
      <c r="C39" s="74" t="s">
        <v>67</v>
      </c>
      <c r="D39" s="52" t="s">
        <v>68</v>
      </c>
      <c r="E39" s="15"/>
      <c r="F39" s="55">
        <v>1</v>
      </c>
      <c r="G39" s="3" t="s">
        <v>9</v>
      </c>
      <c r="H39" s="3" t="s">
        <v>9</v>
      </c>
      <c r="I39" s="2">
        <v>200</v>
      </c>
    </row>
    <row r="40" spans="1:9" ht="15.75" customHeight="1" x14ac:dyDescent="0.25">
      <c r="A40" s="95"/>
      <c r="B40" s="68" t="s">
        <v>129</v>
      </c>
      <c r="C40" s="74" t="s">
        <v>96</v>
      </c>
      <c r="D40" s="73"/>
      <c r="E40" s="15"/>
      <c r="F40" s="55">
        <v>0.5</v>
      </c>
      <c r="G40" s="3" t="s">
        <v>9</v>
      </c>
      <c r="H40" s="3" t="s">
        <v>9</v>
      </c>
      <c r="I40" s="2">
        <v>100</v>
      </c>
    </row>
    <row r="41" spans="1:9" ht="15.75" customHeight="1" x14ac:dyDescent="0.25">
      <c r="A41" s="95"/>
      <c r="B41" s="68" t="s">
        <v>93</v>
      </c>
      <c r="C41" s="69" t="s">
        <v>95</v>
      </c>
      <c r="D41" s="52" t="s">
        <v>12</v>
      </c>
      <c r="E41" s="15"/>
      <c r="F41" s="55">
        <v>1</v>
      </c>
      <c r="G41" s="3" t="s">
        <v>9</v>
      </c>
      <c r="H41" s="3" t="s">
        <v>9</v>
      </c>
      <c r="I41" s="2">
        <v>900</v>
      </c>
    </row>
    <row r="42" spans="1:9" ht="15.75" customHeight="1" x14ac:dyDescent="0.25">
      <c r="A42" s="95"/>
      <c r="B42" s="68" t="s">
        <v>91</v>
      </c>
      <c r="C42" s="69" t="s">
        <v>95</v>
      </c>
      <c r="D42" s="73" t="s">
        <v>86</v>
      </c>
      <c r="E42" s="15"/>
      <c r="F42" s="55">
        <v>2</v>
      </c>
      <c r="G42" s="3" t="s">
        <v>9</v>
      </c>
      <c r="H42" s="3" t="s">
        <v>9</v>
      </c>
      <c r="I42" s="2">
        <v>-500</v>
      </c>
    </row>
    <row r="43" spans="1:9" ht="15.75" customHeight="1" x14ac:dyDescent="0.25">
      <c r="A43" s="95"/>
      <c r="B43" s="68" t="s">
        <v>92</v>
      </c>
      <c r="C43" s="69" t="s">
        <v>95</v>
      </c>
      <c r="D43" s="73" t="s">
        <v>86</v>
      </c>
      <c r="E43" s="15"/>
      <c r="F43" s="55">
        <v>1</v>
      </c>
      <c r="G43" s="54" t="s">
        <v>9</v>
      </c>
      <c r="H43" s="3" t="s">
        <v>9</v>
      </c>
      <c r="I43" s="2">
        <v>-250</v>
      </c>
    </row>
    <row r="44" spans="1:9" ht="15.75" customHeight="1" thickBot="1" x14ac:dyDescent="0.3">
      <c r="A44" s="95"/>
      <c r="B44" s="67" t="s">
        <v>94</v>
      </c>
      <c r="C44" s="69" t="s">
        <v>96</v>
      </c>
      <c r="D44" s="73" t="s">
        <v>86</v>
      </c>
      <c r="E44" s="15"/>
      <c r="F44" s="55">
        <v>0.5</v>
      </c>
      <c r="G44" s="3" t="s">
        <v>9</v>
      </c>
      <c r="H44" s="3" t="s">
        <v>9</v>
      </c>
      <c r="I44" s="2">
        <v>-150</v>
      </c>
    </row>
    <row r="45" spans="1:9" ht="15.75" customHeight="1" thickBot="1" x14ac:dyDescent="0.3">
      <c r="A45" s="97"/>
      <c r="B45" s="64" t="s">
        <v>15</v>
      </c>
      <c r="C45" s="104"/>
      <c r="D45" s="105"/>
      <c r="E45" s="105"/>
      <c r="F45" s="105"/>
      <c r="G45" s="105"/>
      <c r="H45" s="106"/>
      <c r="I45" s="6">
        <f>SUM(I33:I44)</f>
        <v>1450</v>
      </c>
    </row>
    <row r="46" spans="1:9" ht="15.75" customHeight="1" thickBot="1" x14ac:dyDescent="0.25">
      <c r="A46" s="83"/>
      <c r="B46" s="84"/>
      <c r="C46" s="84"/>
      <c r="D46" s="84"/>
      <c r="E46" s="84"/>
      <c r="F46" s="84"/>
      <c r="G46" s="84"/>
      <c r="H46" s="84"/>
      <c r="I46" s="85"/>
    </row>
    <row r="47" spans="1:9" ht="15.75" customHeight="1" x14ac:dyDescent="0.25">
      <c r="A47" s="95" t="s">
        <v>18</v>
      </c>
      <c r="B47" s="45" t="s">
        <v>56</v>
      </c>
      <c r="C47" s="70" t="s">
        <v>95</v>
      </c>
      <c r="D47" s="27" t="s">
        <v>12</v>
      </c>
      <c r="E47" s="47"/>
      <c r="F47" s="48">
        <v>4</v>
      </c>
      <c r="G47" s="49">
        <v>0</v>
      </c>
      <c r="H47" s="49">
        <v>0</v>
      </c>
      <c r="I47" s="50">
        <v>900</v>
      </c>
    </row>
    <row r="48" spans="1:9" ht="15.75" customHeight="1" x14ac:dyDescent="0.25">
      <c r="A48" s="95"/>
      <c r="B48" s="24" t="s">
        <v>31</v>
      </c>
      <c r="C48" s="58" t="s">
        <v>95</v>
      </c>
      <c r="D48" s="22" t="s">
        <v>12</v>
      </c>
      <c r="E48" s="32"/>
      <c r="F48" s="46">
        <v>2</v>
      </c>
      <c r="G48" s="39">
        <v>0</v>
      </c>
      <c r="H48" s="39">
        <v>2</v>
      </c>
      <c r="I48" s="41">
        <v>900</v>
      </c>
    </row>
    <row r="49" spans="1:10" ht="15.75" customHeight="1" x14ac:dyDescent="0.25">
      <c r="A49" s="95"/>
      <c r="B49" s="25" t="s">
        <v>57</v>
      </c>
      <c r="C49" s="58" t="s">
        <v>95</v>
      </c>
      <c r="D49" s="22" t="s">
        <v>12</v>
      </c>
      <c r="E49" s="32"/>
      <c r="F49" s="46">
        <v>4</v>
      </c>
      <c r="G49" s="39">
        <v>0</v>
      </c>
      <c r="H49" s="39">
        <v>0</v>
      </c>
      <c r="I49" s="41">
        <v>900</v>
      </c>
    </row>
    <row r="50" spans="1:10" ht="15.75" customHeight="1" x14ac:dyDescent="0.25">
      <c r="A50" s="95"/>
      <c r="B50" s="25" t="s">
        <v>58</v>
      </c>
      <c r="C50" s="58" t="s">
        <v>95</v>
      </c>
      <c r="D50" s="22" t="s">
        <v>12</v>
      </c>
      <c r="E50" s="32"/>
      <c r="F50" s="46">
        <v>4</v>
      </c>
      <c r="G50" s="39">
        <v>0</v>
      </c>
      <c r="H50" s="39">
        <v>0</v>
      </c>
      <c r="I50" s="41">
        <v>900</v>
      </c>
    </row>
    <row r="51" spans="1:10" ht="15.75" customHeight="1" x14ac:dyDescent="0.25">
      <c r="A51" s="95"/>
      <c r="B51" s="25" t="s">
        <v>59</v>
      </c>
      <c r="C51" s="58" t="s">
        <v>95</v>
      </c>
      <c r="D51" s="22" t="s">
        <v>12</v>
      </c>
      <c r="E51" s="32"/>
      <c r="F51" s="46">
        <v>4</v>
      </c>
      <c r="G51" s="39">
        <v>0</v>
      </c>
      <c r="H51" s="39">
        <v>0</v>
      </c>
      <c r="I51" s="41">
        <v>900</v>
      </c>
    </row>
    <row r="52" spans="1:10" ht="15.75" customHeight="1" x14ac:dyDescent="0.25">
      <c r="A52" s="95"/>
      <c r="B52" s="25" t="s">
        <v>60</v>
      </c>
      <c r="C52" s="58" t="s">
        <v>95</v>
      </c>
      <c r="D52" s="22" t="s">
        <v>12</v>
      </c>
      <c r="E52" s="32"/>
      <c r="F52" s="46">
        <v>4</v>
      </c>
      <c r="G52" s="39">
        <v>0</v>
      </c>
      <c r="H52" s="39">
        <v>0</v>
      </c>
      <c r="I52" s="41">
        <v>900</v>
      </c>
    </row>
    <row r="53" spans="1:10" ht="15.75" customHeight="1" x14ac:dyDescent="0.25">
      <c r="A53" s="95"/>
      <c r="B53" s="25" t="s">
        <v>97</v>
      </c>
      <c r="C53" s="58" t="s">
        <v>95</v>
      </c>
      <c r="D53" s="22" t="s">
        <v>12</v>
      </c>
      <c r="E53" s="32"/>
      <c r="F53" s="46">
        <v>3</v>
      </c>
      <c r="G53" s="39">
        <v>0</v>
      </c>
      <c r="H53" s="39">
        <v>1</v>
      </c>
      <c r="I53" s="41">
        <v>900</v>
      </c>
    </row>
    <row r="54" spans="1:10" ht="15.75" customHeight="1" x14ac:dyDescent="0.25">
      <c r="A54" s="95"/>
      <c r="B54" s="25" t="s">
        <v>98</v>
      </c>
      <c r="C54" s="58" t="s">
        <v>95</v>
      </c>
      <c r="D54" s="22" t="s">
        <v>12</v>
      </c>
      <c r="E54" s="32"/>
      <c r="F54" s="46">
        <v>2</v>
      </c>
      <c r="G54" s="39">
        <v>0</v>
      </c>
      <c r="H54" s="39">
        <v>2</v>
      </c>
      <c r="I54" s="41">
        <v>900</v>
      </c>
    </row>
    <row r="55" spans="1:10" ht="15.75" customHeight="1" x14ac:dyDescent="0.25">
      <c r="A55" s="95"/>
      <c r="B55" s="24" t="s">
        <v>61</v>
      </c>
      <c r="C55" s="58" t="s">
        <v>95</v>
      </c>
      <c r="D55" s="22" t="s">
        <v>12</v>
      </c>
      <c r="E55" s="32"/>
      <c r="F55" s="46">
        <v>4</v>
      </c>
      <c r="G55" s="39">
        <v>0</v>
      </c>
      <c r="H55" s="39">
        <v>0</v>
      </c>
      <c r="I55" s="41">
        <v>900</v>
      </c>
      <c r="J55" s="26"/>
    </row>
    <row r="56" spans="1:10" ht="15.75" customHeight="1" x14ac:dyDescent="0.25">
      <c r="A56" s="95"/>
      <c r="B56" s="24" t="s">
        <v>99</v>
      </c>
      <c r="C56" s="58" t="s">
        <v>95</v>
      </c>
      <c r="D56" s="22" t="s">
        <v>105</v>
      </c>
      <c r="E56" s="32"/>
      <c r="F56" s="46">
        <v>3</v>
      </c>
      <c r="G56" s="39" t="s">
        <v>9</v>
      </c>
      <c r="H56" s="39" t="s">
        <v>9</v>
      </c>
      <c r="I56" s="41">
        <v>750</v>
      </c>
      <c r="J56" s="26"/>
    </row>
    <row r="57" spans="1:10" ht="15.75" customHeight="1" x14ac:dyDescent="0.25">
      <c r="A57" s="95"/>
      <c r="B57" s="24" t="s">
        <v>100</v>
      </c>
      <c r="C57" s="58" t="s">
        <v>95</v>
      </c>
      <c r="D57" s="22" t="s">
        <v>12</v>
      </c>
      <c r="E57" s="32"/>
      <c r="F57" s="46">
        <v>1</v>
      </c>
      <c r="G57" s="39">
        <v>0</v>
      </c>
      <c r="H57" s="39">
        <v>3</v>
      </c>
      <c r="I57" s="41">
        <v>900</v>
      </c>
      <c r="J57" s="26"/>
    </row>
    <row r="58" spans="1:10" ht="15.75" customHeight="1" x14ac:dyDescent="0.25">
      <c r="A58" s="95"/>
      <c r="B58" s="24" t="s">
        <v>101</v>
      </c>
      <c r="C58" s="58" t="s">
        <v>95</v>
      </c>
      <c r="D58" s="22" t="s">
        <v>105</v>
      </c>
      <c r="E58" s="32"/>
      <c r="F58" s="46">
        <v>6</v>
      </c>
      <c r="G58" s="39" t="s">
        <v>9</v>
      </c>
      <c r="H58" s="39" t="s">
        <v>9</v>
      </c>
      <c r="I58" s="41">
        <v>1500</v>
      </c>
      <c r="J58" s="26"/>
    </row>
    <row r="59" spans="1:10" ht="15.75" customHeight="1" x14ac:dyDescent="0.25">
      <c r="A59" s="95"/>
      <c r="B59" s="24" t="s">
        <v>102</v>
      </c>
      <c r="C59" s="58" t="s">
        <v>95</v>
      </c>
      <c r="D59" s="22" t="s">
        <v>12</v>
      </c>
      <c r="E59" s="32"/>
      <c r="F59" s="46">
        <v>2</v>
      </c>
      <c r="G59" s="39">
        <v>0</v>
      </c>
      <c r="H59" s="39">
        <v>2</v>
      </c>
      <c r="I59" s="41">
        <v>900</v>
      </c>
      <c r="J59" s="26"/>
    </row>
    <row r="60" spans="1:10" ht="15.75" customHeight="1" x14ac:dyDescent="0.25">
      <c r="A60" s="95"/>
      <c r="B60" s="24" t="s">
        <v>34</v>
      </c>
      <c r="C60" s="58" t="s">
        <v>95</v>
      </c>
      <c r="D60" s="22" t="s">
        <v>12</v>
      </c>
      <c r="E60" s="32"/>
      <c r="F60" s="46">
        <v>4</v>
      </c>
      <c r="G60" s="39">
        <v>0</v>
      </c>
      <c r="H60" s="39">
        <v>0</v>
      </c>
      <c r="I60" s="41">
        <v>900</v>
      </c>
      <c r="J60" s="26"/>
    </row>
    <row r="61" spans="1:10" ht="15.75" customHeight="1" x14ac:dyDescent="0.25">
      <c r="A61" s="95"/>
      <c r="B61" s="24" t="s">
        <v>130</v>
      </c>
      <c r="C61" s="58" t="s">
        <v>95</v>
      </c>
      <c r="D61" s="22" t="s">
        <v>12</v>
      </c>
      <c r="E61" s="32"/>
      <c r="F61" s="46">
        <v>3</v>
      </c>
      <c r="G61" s="39">
        <v>0</v>
      </c>
      <c r="H61" s="39">
        <v>1</v>
      </c>
      <c r="I61" s="41">
        <v>900</v>
      </c>
      <c r="J61" s="26"/>
    </row>
    <row r="62" spans="1:10" ht="15.75" customHeight="1" x14ac:dyDescent="0.25">
      <c r="A62" s="95"/>
      <c r="B62" s="24" t="s">
        <v>104</v>
      </c>
      <c r="C62" s="58" t="s">
        <v>95</v>
      </c>
      <c r="D62" s="72" t="s">
        <v>86</v>
      </c>
      <c r="E62" s="32"/>
      <c r="F62" s="46">
        <v>3</v>
      </c>
      <c r="G62" s="39" t="s">
        <v>9</v>
      </c>
      <c r="H62" s="39" t="s">
        <v>9</v>
      </c>
      <c r="I62" s="41">
        <v>-750</v>
      </c>
      <c r="J62" s="26"/>
    </row>
    <row r="63" spans="1:10" ht="15.75" customHeight="1" x14ac:dyDescent="0.25">
      <c r="A63" s="95"/>
      <c r="B63" s="24" t="s">
        <v>76</v>
      </c>
      <c r="C63" s="58" t="s">
        <v>67</v>
      </c>
      <c r="D63" s="22" t="s">
        <v>85</v>
      </c>
      <c r="E63" s="32"/>
      <c r="F63" s="46">
        <v>1</v>
      </c>
      <c r="G63" s="39" t="s">
        <v>9</v>
      </c>
      <c r="H63" s="39" t="s">
        <v>9</v>
      </c>
      <c r="I63" s="41">
        <v>200</v>
      </c>
      <c r="J63" s="26"/>
    </row>
    <row r="64" spans="1:10" ht="15.75" customHeight="1" x14ac:dyDescent="0.25">
      <c r="A64" s="95"/>
      <c r="B64" s="24" t="s">
        <v>77</v>
      </c>
      <c r="C64" s="58" t="s">
        <v>67</v>
      </c>
      <c r="D64" s="22" t="s">
        <v>85</v>
      </c>
      <c r="E64" s="32"/>
      <c r="F64" s="46">
        <v>1</v>
      </c>
      <c r="G64" s="39" t="s">
        <v>9</v>
      </c>
      <c r="H64" s="39" t="s">
        <v>9</v>
      </c>
      <c r="I64" s="41">
        <v>200</v>
      </c>
      <c r="J64" s="26"/>
    </row>
    <row r="65" spans="1:10" ht="15.75" customHeight="1" x14ac:dyDescent="0.25">
      <c r="A65" s="95"/>
      <c r="B65" s="24" t="s">
        <v>78</v>
      </c>
      <c r="C65" s="58" t="s">
        <v>67</v>
      </c>
      <c r="D65" s="22" t="s">
        <v>85</v>
      </c>
      <c r="E65" s="32"/>
      <c r="F65" s="46">
        <v>1</v>
      </c>
      <c r="G65" s="39" t="s">
        <v>9</v>
      </c>
      <c r="H65" s="39" t="s">
        <v>9</v>
      </c>
      <c r="I65" s="41">
        <v>200</v>
      </c>
      <c r="J65" s="26"/>
    </row>
    <row r="66" spans="1:10" ht="15.75" customHeight="1" x14ac:dyDescent="0.25">
      <c r="A66" s="95"/>
      <c r="B66" s="24" t="s">
        <v>75</v>
      </c>
      <c r="C66" s="58" t="s">
        <v>21</v>
      </c>
      <c r="D66" s="22" t="s">
        <v>85</v>
      </c>
      <c r="E66" s="32"/>
      <c r="F66" s="46">
        <v>1</v>
      </c>
      <c r="G66" s="39" t="s">
        <v>9</v>
      </c>
      <c r="H66" s="39" t="s">
        <v>9</v>
      </c>
      <c r="I66" s="41">
        <v>200</v>
      </c>
      <c r="J66" s="26"/>
    </row>
    <row r="67" spans="1:10" ht="15.75" customHeight="1" x14ac:dyDescent="0.25">
      <c r="A67" s="95"/>
      <c r="B67" s="24" t="s">
        <v>74</v>
      </c>
      <c r="C67" s="58" t="s">
        <v>21</v>
      </c>
      <c r="D67" s="22" t="s">
        <v>85</v>
      </c>
      <c r="E67" s="32"/>
      <c r="F67" s="46">
        <v>1</v>
      </c>
      <c r="G67" s="39" t="s">
        <v>9</v>
      </c>
      <c r="H67" s="39" t="s">
        <v>9</v>
      </c>
      <c r="I67" s="41">
        <v>200</v>
      </c>
      <c r="J67" s="26"/>
    </row>
    <row r="68" spans="1:10" ht="15.75" customHeight="1" thickBot="1" x14ac:dyDescent="0.3">
      <c r="A68" s="96"/>
      <c r="B68" s="43" t="s">
        <v>15</v>
      </c>
      <c r="C68" s="86"/>
      <c r="D68" s="87"/>
      <c r="E68" s="87"/>
      <c r="F68" s="87"/>
      <c r="G68" s="87"/>
      <c r="H68" s="88"/>
      <c r="I68" s="44">
        <f>SUM(I47:I67)</f>
        <v>14200</v>
      </c>
    </row>
    <row r="69" spans="1:10" ht="15.75" customHeight="1" thickBot="1" x14ac:dyDescent="0.25">
      <c r="A69" s="83"/>
      <c r="B69" s="84"/>
      <c r="C69" s="84"/>
      <c r="D69" s="84"/>
      <c r="E69" s="84"/>
      <c r="F69" s="84"/>
      <c r="G69" s="84"/>
      <c r="H69" s="84"/>
      <c r="I69" s="85"/>
    </row>
    <row r="70" spans="1:10" ht="15.75" customHeight="1" x14ac:dyDescent="0.2">
      <c r="A70" s="95" t="s">
        <v>19</v>
      </c>
      <c r="B70" s="35" t="s">
        <v>39</v>
      </c>
      <c r="C70" s="62" t="s">
        <v>87</v>
      </c>
      <c r="D70" s="27" t="s">
        <v>12</v>
      </c>
      <c r="E70" s="28"/>
      <c r="F70" s="29">
        <v>4</v>
      </c>
      <c r="G70" s="40">
        <v>0</v>
      </c>
      <c r="H70" s="29">
        <v>0</v>
      </c>
      <c r="I70" s="30">
        <v>900</v>
      </c>
    </row>
    <row r="71" spans="1:10" ht="15.75" customHeight="1" x14ac:dyDescent="0.2">
      <c r="A71" s="95"/>
      <c r="B71" s="42" t="s">
        <v>39</v>
      </c>
      <c r="C71" s="61" t="s">
        <v>87</v>
      </c>
      <c r="D71" s="22" t="s">
        <v>68</v>
      </c>
      <c r="E71" s="16"/>
      <c r="F71" s="3">
        <v>1</v>
      </c>
      <c r="G71" s="31" t="s">
        <v>9</v>
      </c>
      <c r="H71" s="3" t="s">
        <v>9</v>
      </c>
      <c r="I71" s="2">
        <v>250</v>
      </c>
    </row>
    <row r="72" spans="1:10" ht="15.75" customHeight="1" x14ac:dyDescent="0.2">
      <c r="A72" s="95"/>
      <c r="B72" s="42" t="s">
        <v>40</v>
      </c>
      <c r="C72" s="61" t="s">
        <v>87</v>
      </c>
      <c r="D72" s="22" t="s">
        <v>68</v>
      </c>
      <c r="E72" s="16"/>
      <c r="F72" s="3">
        <v>3</v>
      </c>
      <c r="G72" s="31" t="s">
        <v>9</v>
      </c>
      <c r="H72" s="3" t="s">
        <v>9</v>
      </c>
      <c r="I72" s="2">
        <v>750</v>
      </c>
    </row>
    <row r="73" spans="1:10" ht="15.75" customHeight="1" x14ac:dyDescent="0.2">
      <c r="A73" s="95"/>
      <c r="B73" s="36" t="s">
        <v>41</v>
      </c>
      <c r="C73" s="61" t="s">
        <v>87</v>
      </c>
      <c r="D73" s="22" t="s">
        <v>68</v>
      </c>
      <c r="E73" s="16"/>
      <c r="F73" s="3">
        <v>2</v>
      </c>
      <c r="G73" s="31" t="s">
        <v>9</v>
      </c>
      <c r="H73" s="3" t="s">
        <v>9</v>
      </c>
      <c r="I73" s="2">
        <v>500</v>
      </c>
    </row>
    <row r="74" spans="1:10" ht="15.75" customHeight="1" x14ac:dyDescent="0.2">
      <c r="A74" s="95"/>
      <c r="B74" s="42" t="s">
        <v>71</v>
      </c>
      <c r="C74" s="61" t="s">
        <v>87</v>
      </c>
      <c r="D74" s="22" t="s">
        <v>68</v>
      </c>
      <c r="E74" s="16"/>
      <c r="F74" s="3">
        <v>1</v>
      </c>
      <c r="G74" s="31" t="s">
        <v>9</v>
      </c>
      <c r="H74" s="3" t="s">
        <v>9</v>
      </c>
      <c r="I74" s="2">
        <v>250</v>
      </c>
    </row>
    <row r="75" spans="1:10" ht="15.75" customHeight="1" x14ac:dyDescent="0.2">
      <c r="A75" s="95"/>
      <c r="B75" s="36" t="s">
        <v>63</v>
      </c>
      <c r="C75" s="61" t="s">
        <v>87</v>
      </c>
      <c r="D75" s="22" t="s">
        <v>68</v>
      </c>
      <c r="E75" s="32"/>
      <c r="F75" s="39">
        <v>2</v>
      </c>
      <c r="G75" s="56" t="s">
        <v>9</v>
      </c>
      <c r="H75" s="39" t="s">
        <v>9</v>
      </c>
      <c r="I75" s="41">
        <v>500</v>
      </c>
    </row>
    <row r="76" spans="1:10" ht="15.75" customHeight="1" x14ac:dyDescent="0.2">
      <c r="A76" s="95"/>
      <c r="B76" s="36" t="s">
        <v>64</v>
      </c>
      <c r="C76" s="63" t="s">
        <v>87</v>
      </c>
      <c r="D76" s="34" t="s">
        <v>13</v>
      </c>
      <c r="E76" s="16"/>
      <c r="F76" s="37">
        <v>8</v>
      </c>
      <c r="G76" s="31">
        <v>0</v>
      </c>
      <c r="H76" s="3">
        <v>0</v>
      </c>
      <c r="I76" s="38">
        <v>1600</v>
      </c>
    </row>
    <row r="77" spans="1:10" ht="15.75" customHeight="1" x14ac:dyDescent="0.2">
      <c r="A77" s="95"/>
      <c r="B77" s="36" t="s">
        <v>42</v>
      </c>
      <c r="C77" s="61" t="s">
        <v>87</v>
      </c>
      <c r="D77" s="22" t="s">
        <v>68</v>
      </c>
      <c r="E77" s="16"/>
      <c r="F77" s="3">
        <v>1</v>
      </c>
      <c r="G77" s="31" t="s">
        <v>9</v>
      </c>
      <c r="H77" s="3" t="s">
        <v>9</v>
      </c>
      <c r="I77" s="2">
        <v>250</v>
      </c>
    </row>
    <row r="78" spans="1:10" ht="15.75" customHeight="1" x14ac:dyDescent="0.2">
      <c r="A78" s="95"/>
      <c r="B78" s="36" t="s">
        <v>43</v>
      </c>
      <c r="C78" s="61" t="s">
        <v>87</v>
      </c>
      <c r="D78" s="22" t="s">
        <v>68</v>
      </c>
      <c r="E78" s="16"/>
      <c r="F78" s="3">
        <v>2</v>
      </c>
      <c r="G78" s="31" t="s">
        <v>9</v>
      </c>
      <c r="H78" s="3" t="s">
        <v>9</v>
      </c>
      <c r="I78" s="2">
        <v>500</v>
      </c>
    </row>
    <row r="79" spans="1:10" ht="15.75" customHeight="1" x14ac:dyDescent="0.2">
      <c r="A79" s="95"/>
      <c r="B79" s="36" t="s">
        <v>44</v>
      </c>
      <c r="C79" s="61" t="s">
        <v>87</v>
      </c>
      <c r="D79" s="22" t="s">
        <v>12</v>
      </c>
      <c r="E79" s="16"/>
      <c r="F79" s="3">
        <v>3</v>
      </c>
      <c r="G79" s="31">
        <v>0</v>
      </c>
      <c r="H79" s="3">
        <v>1</v>
      </c>
      <c r="I79" s="2">
        <v>900</v>
      </c>
    </row>
    <row r="80" spans="1:10" ht="15.75" customHeight="1" x14ac:dyDescent="0.2">
      <c r="A80" s="95"/>
      <c r="B80" s="36" t="s">
        <v>69</v>
      </c>
      <c r="C80" s="61" t="s">
        <v>87</v>
      </c>
      <c r="D80" s="22" t="s">
        <v>13</v>
      </c>
      <c r="E80" s="16"/>
      <c r="F80" s="3">
        <v>8</v>
      </c>
      <c r="G80" s="31">
        <v>0</v>
      </c>
      <c r="H80" s="3">
        <v>0</v>
      </c>
      <c r="I80" s="2">
        <v>1600</v>
      </c>
    </row>
    <row r="81" spans="1:9" ht="15.75" customHeight="1" x14ac:dyDescent="0.2">
      <c r="A81" s="95"/>
      <c r="B81" s="36" t="s">
        <v>45</v>
      </c>
      <c r="C81" s="61" t="s">
        <v>87</v>
      </c>
      <c r="D81" s="22" t="s">
        <v>12</v>
      </c>
      <c r="E81" s="16"/>
      <c r="F81" s="3">
        <v>4</v>
      </c>
      <c r="G81" s="31">
        <v>0</v>
      </c>
      <c r="H81" s="3">
        <v>0</v>
      </c>
      <c r="I81" s="2">
        <v>900</v>
      </c>
    </row>
    <row r="82" spans="1:9" ht="15.75" customHeight="1" x14ac:dyDescent="0.2">
      <c r="A82" s="95"/>
      <c r="B82" s="36" t="s">
        <v>79</v>
      </c>
      <c r="C82" s="61" t="s">
        <v>87</v>
      </c>
      <c r="D82" s="22" t="s">
        <v>12</v>
      </c>
      <c r="E82" s="16"/>
      <c r="F82" s="3">
        <v>4</v>
      </c>
      <c r="G82" s="31">
        <v>0</v>
      </c>
      <c r="H82" s="3">
        <v>0</v>
      </c>
      <c r="I82" s="2">
        <v>900</v>
      </c>
    </row>
    <row r="83" spans="1:9" ht="15.75" customHeight="1" x14ac:dyDescent="0.2">
      <c r="A83" s="95"/>
      <c r="B83" s="36" t="s">
        <v>46</v>
      </c>
      <c r="C83" s="61" t="s">
        <v>87</v>
      </c>
      <c r="D83" s="22" t="s">
        <v>68</v>
      </c>
      <c r="E83" s="16"/>
      <c r="F83" s="3">
        <v>1</v>
      </c>
      <c r="G83" s="31" t="s">
        <v>9</v>
      </c>
      <c r="H83" s="3" t="s">
        <v>9</v>
      </c>
      <c r="I83" s="2">
        <v>250</v>
      </c>
    </row>
    <row r="84" spans="1:9" ht="15.75" customHeight="1" x14ac:dyDescent="0.2">
      <c r="A84" s="95"/>
      <c r="B84" s="36" t="s">
        <v>65</v>
      </c>
      <c r="C84" s="61" t="s">
        <v>87</v>
      </c>
      <c r="D84" s="22" t="s">
        <v>12</v>
      </c>
      <c r="E84" s="16"/>
      <c r="F84" s="3">
        <v>4</v>
      </c>
      <c r="G84" s="31">
        <v>0</v>
      </c>
      <c r="H84" s="3">
        <v>0</v>
      </c>
      <c r="I84" s="2">
        <v>900</v>
      </c>
    </row>
    <row r="85" spans="1:9" ht="15.75" customHeight="1" x14ac:dyDescent="0.2">
      <c r="A85" s="95"/>
      <c r="B85" s="36" t="s">
        <v>65</v>
      </c>
      <c r="C85" s="61" t="s">
        <v>87</v>
      </c>
      <c r="D85" s="22" t="s">
        <v>88</v>
      </c>
      <c r="E85" s="16"/>
      <c r="F85" s="3">
        <v>1</v>
      </c>
      <c r="G85" s="31" t="s">
        <v>9</v>
      </c>
      <c r="H85" s="3" t="s">
        <v>9</v>
      </c>
      <c r="I85" s="2">
        <v>250</v>
      </c>
    </row>
    <row r="86" spans="1:9" ht="15.75" customHeight="1" x14ac:dyDescent="0.2">
      <c r="A86" s="95"/>
      <c r="B86" s="36" t="s">
        <v>47</v>
      </c>
      <c r="C86" s="61" t="s">
        <v>87</v>
      </c>
      <c r="D86" s="22" t="s">
        <v>68</v>
      </c>
      <c r="E86" s="16"/>
      <c r="F86" s="3">
        <v>2</v>
      </c>
      <c r="G86" s="31" t="s">
        <v>9</v>
      </c>
      <c r="H86" s="3" t="s">
        <v>9</v>
      </c>
      <c r="I86" s="2">
        <v>500</v>
      </c>
    </row>
    <row r="87" spans="1:9" ht="15.75" customHeight="1" x14ac:dyDescent="0.2">
      <c r="A87" s="95"/>
      <c r="B87" s="36" t="s">
        <v>48</v>
      </c>
      <c r="C87" s="61" t="s">
        <v>87</v>
      </c>
      <c r="D87" s="34" t="s">
        <v>70</v>
      </c>
      <c r="E87" s="16"/>
      <c r="F87" s="3">
        <v>3</v>
      </c>
      <c r="G87" s="31">
        <v>0</v>
      </c>
      <c r="H87" s="3">
        <v>0</v>
      </c>
      <c r="I87" s="2">
        <v>700</v>
      </c>
    </row>
    <row r="88" spans="1:9" ht="15.75" customHeight="1" x14ac:dyDescent="0.2">
      <c r="A88" s="95"/>
      <c r="B88" s="36" t="s">
        <v>49</v>
      </c>
      <c r="C88" s="61" t="s">
        <v>87</v>
      </c>
      <c r="D88" s="34" t="s">
        <v>70</v>
      </c>
      <c r="E88" s="16"/>
      <c r="F88" s="3">
        <v>3</v>
      </c>
      <c r="G88" s="31">
        <v>0</v>
      </c>
      <c r="H88" s="3">
        <v>0</v>
      </c>
      <c r="I88" s="2">
        <v>700</v>
      </c>
    </row>
    <row r="89" spans="1:9" ht="15.75" customHeight="1" x14ac:dyDescent="0.2">
      <c r="A89" s="95"/>
      <c r="B89" s="36" t="s">
        <v>81</v>
      </c>
      <c r="C89" s="61" t="s">
        <v>87</v>
      </c>
      <c r="D89" s="22" t="s">
        <v>12</v>
      </c>
      <c r="E89" s="16"/>
      <c r="F89" s="3">
        <v>4</v>
      </c>
      <c r="G89" s="31">
        <v>0</v>
      </c>
      <c r="H89" s="3">
        <v>0</v>
      </c>
      <c r="I89" s="2">
        <v>900</v>
      </c>
    </row>
    <row r="90" spans="1:9" ht="15.75" customHeight="1" x14ac:dyDescent="0.2">
      <c r="A90" s="95"/>
      <c r="B90" s="36" t="s">
        <v>82</v>
      </c>
      <c r="C90" s="61" t="s">
        <v>87</v>
      </c>
      <c r="D90" s="34" t="s">
        <v>68</v>
      </c>
      <c r="E90" s="16"/>
      <c r="F90" s="3">
        <v>2</v>
      </c>
      <c r="G90" s="31" t="s">
        <v>9</v>
      </c>
      <c r="H90" s="3" t="s">
        <v>9</v>
      </c>
      <c r="I90" s="2">
        <v>500</v>
      </c>
    </row>
    <row r="91" spans="1:9" ht="15.75" customHeight="1" x14ac:dyDescent="0.2">
      <c r="A91" s="95"/>
      <c r="B91" s="51" t="s">
        <v>50</v>
      </c>
      <c r="C91" s="61" t="s">
        <v>87</v>
      </c>
      <c r="D91" s="59" t="s">
        <v>13</v>
      </c>
      <c r="E91" s="60"/>
      <c r="F91" s="3">
        <v>5</v>
      </c>
      <c r="G91" s="31">
        <v>0</v>
      </c>
      <c r="H91" s="3">
        <v>3</v>
      </c>
      <c r="I91" s="2">
        <v>1600</v>
      </c>
    </row>
    <row r="92" spans="1:9" ht="15.75" customHeight="1" x14ac:dyDescent="0.2">
      <c r="A92" s="95"/>
      <c r="B92" s="51" t="s">
        <v>51</v>
      </c>
      <c r="C92" s="61" t="s">
        <v>87</v>
      </c>
      <c r="D92" s="22" t="s">
        <v>13</v>
      </c>
      <c r="E92" s="32"/>
      <c r="F92" s="3">
        <v>7</v>
      </c>
      <c r="G92" s="31">
        <v>0</v>
      </c>
      <c r="H92" s="3">
        <v>1</v>
      </c>
      <c r="I92" s="2">
        <v>1600</v>
      </c>
    </row>
    <row r="93" spans="1:9" ht="15.75" customHeight="1" x14ac:dyDescent="0.2">
      <c r="A93" s="95"/>
      <c r="B93" s="51" t="s">
        <v>66</v>
      </c>
      <c r="C93" s="61" t="s">
        <v>87</v>
      </c>
      <c r="D93" s="22" t="s">
        <v>68</v>
      </c>
      <c r="E93" s="32"/>
      <c r="F93" s="3">
        <v>2</v>
      </c>
      <c r="G93" s="31" t="s">
        <v>9</v>
      </c>
      <c r="H93" s="3" t="s">
        <v>9</v>
      </c>
      <c r="I93" s="2">
        <v>500</v>
      </c>
    </row>
    <row r="94" spans="1:9" ht="15.75" customHeight="1" x14ac:dyDescent="0.2">
      <c r="A94" s="95"/>
      <c r="B94" s="51" t="s">
        <v>83</v>
      </c>
      <c r="C94" s="61" t="s">
        <v>87</v>
      </c>
      <c r="D94" s="22" t="s">
        <v>68</v>
      </c>
      <c r="E94" s="32"/>
      <c r="F94" s="3">
        <v>2</v>
      </c>
      <c r="G94" s="31" t="s">
        <v>9</v>
      </c>
      <c r="H94" s="3" t="s">
        <v>9</v>
      </c>
      <c r="I94" s="2">
        <v>500</v>
      </c>
    </row>
    <row r="95" spans="1:9" ht="15.75" customHeight="1" x14ac:dyDescent="0.2">
      <c r="A95" s="95"/>
      <c r="B95" s="36" t="s">
        <v>80</v>
      </c>
      <c r="C95" s="61" t="s">
        <v>11</v>
      </c>
      <c r="D95" s="22" t="s">
        <v>68</v>
      </c>
      <c r="E95" s="32"/>
      <c r="F95" s="3">
        <v>1</v>
      </c>
      <c r="G95" s="31" t="s">
        <v>9</v>
      </c>
      <c r="H95" s="3" t="s">
        <v>9</v>
      </c>
      <c r="I95" s="2">
        <v>500</v>
      </c>
    </row>
    <row r="96" spans="1:9" ht="15.75" customHeight="1" x14ac:dyDescent="0.2">
      <c r="A96" s="95"/>
      <c r="B96" s="51" t="s">
        <v>73</v>
      </c>
      <c r="C96" s="61" t="s">
        <v>67</v>
      </c>
      <c r="D96" s="52" t="s">
        <v>85</v>
      </c>
      <c r="E96" s="32"/>
      <c r="F96" s="3">
        <v>1</v>
      </c>
      <c r="G96" s="31" t="s">
        <v>9</v>
      </c>
      <c r="H96" s="3" t="s">
        <v>9</v>
      </c>
      <c r="I96" s="2">
        <v>200</v>
      </c>
    </row>
    <row r="97" spans="1:10" ht="15.75" customHeight="1" thickBot="1" x14ac:dyDescent="0.25">
      <c r="A97" s="95"/>
      <c r="B97" s="51" t="s">
        <v>84</v>
      </c>
      <c r="C97" s="61" t="s">
        <v>87</v>
      </c>
      <c r="D97" s="52" t="s">
        <v>12</v>
      </c>
      <c r="E97" s="53"/>
      <c r="F97" s="3">
        <v>3</v>
      </c>
      <c r="G97" s="31">
        <v>0</v>
      </c>
      <c r="H97" s="3">
        <v>1</v>
      </c>
      <c r="I97" s="2">
        <v>900</v>
      </c>
    </row>
    <row r="98" spans="1:10" ht="15.75" customHeight="1" thickBot="1" x14ac:dyDescent="0.3">
      <c r="A98" s="96"/>
      <c r="B98" s="57" t="s">
        <v>15</v>
      </c>
      <c r="C98" s="101"/>
      <c r="D98" s="102"/>
      <c r="E98" s="102"/>
      <c r="F98" s="102"/>
      <c r="G98" s="102"/>
      <c r="H98" s="103"/>
      <c r="I98" s="19">
        <f>SUM(I70:I97)</f>
        <v>20300</v>
      </c>
    </row>
    <row r="99" spans="1:10" ht="15.75" customHeight="1" thickBot="1" x14ac:dyDescent="0.25">
      <c r="A99" s="89"/>
      <c r="B99" s="90"/>
      <c r="C99" s="90"/>
      <c r="D99" s="90"/>
      <c r="E99" s="90"/>
      <c r="F99" s="90"/>
      <c r="G99" s="90"/>
      <c r="H99" s="90"/>
      <c r="I99" s="91"/>
    </row>
    <row r="100" spans="1:10" ht="15.75" customHeight="1" x14ac:dyDescent="0.25">
      <c r="A100" s="95" t="s">
        <v>62</v>
      </c>
      <c r="B100" s="45" t="s">
        <v>20</v>
      </c>
      <c r="C100" s="70" t="s">
        <v>95</v>
      </c>
      <c r="D100" s="27" t="s">
        <v>12</v>
      </c>
      <c r="E100" s="47"/>
      <c r="F100" s="48">
        <v>4</v>
      </c>
      <c r="G100" s="49">
        <v>0</v>
      </c>
      <c r="H100" s="49">
        <v>0</v>
      </c>
      <c r="I100" s="50">
        <v>900</v>
      </c>
    </row>
    <row r="101" spans="1:10" ht="15.75" customHeight="1" x14ac:dyDescent="0.25">
      <c r="A101" s="95"/>
      <c r="B101" s="24" t="s">
        <v>20</v>
      </c>
      <c r="C101" s="58" t="s">
        <v>95</v>
      </c>
      <c r="D101" s="22" t="s">
        <v>105</v>
      </c>
      <c r="E101" s="32"/>
      <c r="F101" s="46">
        <v>1</v>
      </c>
      <c r="G101" s="39" t="s">
        <v>9</v>
      </c>
      <c r="H101" s="39" t="s">
        <v>9</v>
      </c>
      <c r="I101" s="41">
        <v>250</v>
      </c>
    </row>
    <row r="102" spans="1:10" ht="15.75" customHeight="1" x14ac:dyDescent="0.25">
      <c r="A102" s="95"/>
      <c r="B102" s="24" t="s">
        <v>24</v>
      </c>
      <c r="C102" s="58" t="s">
        <v>95</v>
      </c>
      <c r="D102" s="22" t="s">
        <v>105</v>
      </c>
      <c r="E102" s="32"/>
      <c r="F102" s="46">
        <v>1</v>
      </c>
      <c r="G102" s="39" t="s">
        <v>9</v>
      </c>
      <c r="H102" s="39" t="s">
        <v>9</v>
      </c>
      <c r="I102" s="41">
        <v>250</v>
      </c>
    </row>
    <row r="103" spans="1:10" ht="15.75" customHeight="1" x14ac:dyDescent="0.25">
      <c r="A103" s="95"/>
      <c r="B103" s="24" t="s">
        <v>25</v>
      </c>
      <c r="C103" s="58" t="s">
        <v>95</v>
      </c>
      <c r="D103" s="22" t="s">
        <v>29</v>
      </c>
      <c r="E103" s="32"/>
      <c r="F103" s="46">
        <v>11</v>
      </c>
      <c r="G103" s="39">
        <v>0</v>
      </c>
      <c r="H103" s="39">
        <v>1</v>
      </c>
      <c r="I103" s="41">
        <v>2200</v>
      </c>
      <c r="J103" s="26"/>
    </row>
    <row r="104" spans="1:10" ht="15.75" customHeight="1" x14ac:dyDescent="0.25">
      <c r="A104" s="95"/>
      <c r="B104" s="24" t="s">
        <v>26</v>
      </c>
      <c r="C104" s="58" t="s">
        <v>95</v>
      </c>
      <c r="D104" s="22" t="s">
        <v>105</v>
      </c>
      <c r="E104" s="32"/>
      <c r="F104" s="46">
        <v>3</v>
      </c>
      <c r="G104" s="39" t="s">
        <v>9</v>
      </c>
      <c r="H104" s="39" t="s">
        <v>9</v>
      </c>
      <c r="I104" s="41">
        <v>750</v>
      </c>
      <c r="J104" s="26"/>
    </row>
    <row r="105" spans="1:10" ht="15.75" customHeight="1" x14ac:dyDescent="0.25">
      <c r="A105" s="95"/>
      <c r="B105" s="24" t="s">
        <v>32</v>
      </c>
      <c r="C105" s="58" t="s">
        <v>95</v>
      </c>
      <c r="D105" s="22" t="s">
        <v>105</v>
      </c>
      <c r="E105" s="32"/>
      <c r="F105" s="46">
        <v>1</v>
      </c>
      <c r="G105" s="39" t="s">
        <v>9</v>
      </c>
      <c r="H105" s="39" t="s">
        <v>9</v>
      </c>
      <c r="I105" s="41">
        <v>250</v>
      </c>
      <c r="J105" s="26"/>
    </row>
    <row r="106" spans="1:10" ht="15.75" customHeight="1" x14ac:dyDescent="0.25">
      <c r="A106" s="95"/>
      <c r="B106" s="24" t="s">
        <v>32</v>
      </c>
      <c r="C106" s="58" t="s">
        <v>95</v>
      </c>
      <c r="D106" s="22" t="s">
        <v>12</v>
      </c>
      <c r="E106" s="32"/>
      <c r="F106" s="46">
        <v>4</v>
      </c>
      <c r="G106" s="39">
        <v>0</v>
      </c>
      <c r="H106" s="39">
        <v>0</v>
      </c>
      <c r="I106" s="41">
        <v>900</v>
      </c>
      <c r="J106" s="26"/>
    </row>
    <row r="107" spans="1:10" ht="15.75" customHeight="1" x14ac:dyDescent="0.25">
      <c r="A107" s="95"/>
      <c r="B107" s="24" t="s">
        <v>30</v>
      </c>
      <c r="C107" s="58" t="s">
        <v>95</v>
      </c>
      <c r="D107" s="22" t="s">
        <v>13</v>
      </c>
      <c r="E107" s="32"/>
      <c r="F107" s="46">
        <v>8</v>
      </c>
      <c r="G107" s="39">
        <v>0</v>
      </c>
      <c r="H107" s="39">
        <v>0</v>
      </c>
      <c r="I107" s="41">
        <v>1600</v>
      </c>
      <c r="J107" s="26"/>
    </row>
    <row r="108" spans="1:10" ht="15.75" customHeight="1" x14ac:dyDescent="0.25">
      <c r="A108" s="95"/>
      <c r="B108" s="24" t="s">
        <v>33</v>
      </c>
      <c r="C108" s="58" t="s">
        <v>95</v>
      </c>
      <c r="D108" s="22" t="s">
        <v>13</v>
      </c>
      <c r="E108" s="32"/>
      <c r="F108" s="46">
        <v>8</v>
      </c>
      <c r="G108" s="39">
        <v>0</v>
      </c>
      <c r="H108" s="39">
        <v>0</v>
      </c>
      <c r="I108" s="41">
        <v>1600</v>
      </c>
      <c r="J108" s="26"/>
    </row>
    <row r="109" spans="1:10" ht="15.75" customHeight="1" x14ac:dyDescent="0.25">
      <c r="A109" s="95"/>
      <c r="B109" s="24" t="s">
        <v>103</v>
      </c>
      <c r="C109" s="107" t="s">
        <v>95</v>
      </c>
      <c r="D109" s="72" t="s">
        <v>86</v>
      </c>
      <c r="E109" s="32"/>
      <c r="F109" s="46">
        <v>1</v>
      </c>
      <c r="G109" s="39" t="s">
        <v>9</v>
      </c>
      <c r="H109" s="39" t="s">
        <v>9</v>
      </c>
      <c r="I109" s="41">
        <v>-250</v>
      </c>
      <c r="J109" s="26"/>
    </row>
    <row r="110" spans="1:10" ht="15.75" customHeight="1" x14ac:dyDescent="0.25">
      <c r="A110" s="95"/>
      <c r="B110" s="24" t="s">
        <v>103</v>
      </c>
      <c r="C110" s="58" t="s">
        <v>96</v>
      </c>
      <c r="D110" s="72" t="s">
        <v>86</v>
      </c>
      <c r="E110" s="32"/>
      <c r="F110" s="46">
        <v>0.5</v>
      </c>
      <c r="G110" s="39" t="s">
        <v>9</v>
      </c>
      <c r="H110" s="39" t="s">
        <v>9</v>
      </c>
      <c r="I110" s="41">
        <v>-150</v>
      </c>
      <c r="J110" s="26"/>
    </row>
    <row r="111" spans="1:10" ht="15.75" customHeight="1" x14ac:dyDescent="0.25">
      <c r="A111" s="95"/>
      <c r="B111" s="24" t="s">
        <v>106</v>
      </c>
      <c r="C111" s="58" t="s">
        <v>96</v>
      </c>
      <c r="D111" s="72" t="s">
        <v>86</v>
      </c>
      <c r="E111" s="32"/>
      <c r="F111" s="46">
        <v>0.5</v>
      </c>
      <c r="G111" s="39" t="s">
        <v>9</v>
      </c>
      <c r="H111" s="39" t="s">
        <v>9</v>
      </c>
      <c r="I111" s="41">
        <v>-150</v>
      </c>
      <c r="J111" s="26"/>
    </row>
    <row r="112" spans="1:10" ht="15.75" customHeight="1" thickBot="1" x14ac:dyDescent="0.3">
      <c r="A112" s="96"/>
      <c r="B112" s="43" t="s">
        <v>15</v>
      </c>
      <c r="C112" s="86"/>
      <c r="D112" s="87"/>
      <c r="E112" s="87"/>
      <c r="F112" s="87"/>
      <c r="G112" s="87"/>
      <c r="H112" s="88"/>
      <c r="I112" s="44">
        <f>SUM(I100:I111)</f>
        <v>8150</v>
      </c>
    </row>
    <row r="141" spans="5:5" ht="15.75" customHeight="1" x14ac:dyDescent="0.2">
      <c r="E141" s="17" t="s">
        <v>27</v>
      </c>
    </row>
  </sheetData>
  <mergeCells count="18">
    <mergeCell ref="C98:H98"/>
    <mergeCell ref="C45:H45"/>
    <mergeCell ref="A100:A112"/>
    <mergeCell ref="C112:H112"/>
    <mergeCell ref="A70:A98"/>
    <mergeCell ref="A99:I99"/>
    <mergeCell ref="A1:I1"/>
    <mergeCell ref="B2:I2"/>
    <mergeCell ref="C30:H30"/>
    <mergeCell ref="A69:I69"/>
    <mergeCell ref="C68:H68"/>
    <mergeCell ref="A32:I32"/>
    <mergeCell ref="A46:I46"/>
    <mergeCell ref="C31:H31"/>
    <mergeCell ref="C29:H29"/>
    <mergeCell ref="A47:A68"/>
    <mergeCell ref="A33:A45"/>
    <mergeCell ref="A4:A31"/>
  </mergeCells>
  <phoneticPr fontId="14" type="noConversion"/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Esraa Nabil Mahdy</cp:lastModifiedBy>
  <dcterms:created xsi:type="dcterms:W3CDTF">2025-09-02T07:37:11Z</dcterms:created>
  <dcterms:modified xsi:type="dcterms:W3CDTF">2026-07-06T13:43:16Z</dcterms:modified>
</cp:coreProperties>
</file>